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victorhugoviguerasdiaz/Documents/LevelAcces/2026/repo_files/"/>
    </mc:Choice>
  </mc:AlternateContent>
  <xr:revisionPtr revIDLastSave="0" documentId="13_ncr:1_{080A7D00-1E55-E64A-BEBC-65AE5F28527E}" xr6:coauthVersionLast="47" xr6:coauthVersionMax="47" xr10:uidLastSave="{00000000-0000-0000-0000-000000000000}"/>
  <bookViews>
    <workbookView xWindow="38400" yWindow="0" windowWidth="38400" windowHeight="21600" tabRatio="500" activeTab="3" xr2:uid="{00000000-000D-0000-FFFF-FFFF00000000}"/>
  </bookViews>
  <sheets>
    <sheet name="Registro de Hallazgos" sheetId="1" r:id="rId1"/>
    <sheet name="Alcance" sheetId="2" r:id="rId2"/>
    <sheet name="Resumen" sheetId="3" r:id="rId3"/>
    <sheet name="Referencia WCA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3" l="1"/>
  <c r="F8" i="3"/>
  <c r="B8" i="3"/>
  <c r="F7" i="3"/>
  <c r="B7" i="3"/>
  <c r="F6" i="3"/>
  <c r="B6" i="3"/>
  <c r="F5" i="3"/>
  <c r="B5" i="3"/>
  <c r="B9" i="3" s="1"/>
  <c r="C8" i="3" l="1"/>
  <c r="C7" i="3"/>
  <c r="C6" i="3"/>
  <c r="C5" i="3"/>
</calcChain>
</file>

<file path=xl/sharedStrings.xml><?xml version="1.0" encoding="utf-8"?>
<sst xmlns="http://schemas.openxmlformats.org/spreadsheetml/2006/main" count="196" uniqueCount="149">
  <si>
    <t>Auditoría de Accesibilidad — Registro de Hallazgos</t>
  </si>
  <si>
    <t>ID</t>
  </si>
  <si>
    <t>Página / Componente</t>
  </si>
  <si>
    <t>Criterio WCAG</t>
  </si>
  <si>
    <t>Principio
(POUR)</t>
  </si>
  <si>
    <t>Nivel
(A/AA/AAA)</t>
  </si>
  <si>
    <t>Severidad</t>
  </si>
  <si>
    <t>Herramienta</t>
  </si>
  <si>
    <t>Descripción del issue</t>
  </si>
  <si>
    <t>Impacto en el usuario</t>
  </si>
  <si>
    <t>Corrección recomendada</t>
  </si>
  <si>
    <t>Fragmento de código
(opcional)</t>
  </si>
  <si>
    <t>Estatus</t>
  </si>
  <si>
    <t>Notas</t>
  </si>
  <si>
    <t>Ref. captura</t>
  </si>
  <si>
    <t>F-001</t>
  </si>
  <si>
    <t>Inicio</t>
  </si>
  <si>
    <t>1.1.1 Contenido no textual</t>
  </si>
  <si>
    <t>Perceptible</t>
  </si>
  <si>
    <t>A</t>
  </si>
  <si>
    <t>Crítico</t>
  </si>
  <si>
    <t>WAVE / axe</t>
  </si>
  <si>
    <t>La imagen principal no tiene atributo alt.</t>
  </si>
  <si>
    <t>Los usuarios de lector de pantalla no reciben información sobre la imagen.</t>
  </si>
  <si>
    <t>Agregar alt text descriptivo: alt="[descripción]".</t>
  </si>
  <si>
    <t>&lt;img src="hero.jpg"&gt;</t>
  </si>
  <si>
    <t>Abierto</t>
  </si>
  <si>
    <t>CAP-001</t>
  </si>
  <si>
    <t>F-002</t>
  </si>
  <si>
    <t>Formulario de contacto</t>
  </si>
  <si>
    <t>1.3.1 Información y relaciones</t>
  </si>
  <si>
    <t>Serio</t>
  </si>
  <si>
    <t>axe DevTools</t>
  </si>
  <si>
    <t>Los inputs del formulario no tienen elementos &lt;label&gt; asociados.</t>
  </si>
  <si>
    <t>Los usuarios de tecnología asistiva no pueden identificar el propósito del campo.</t>
  </si>
  <si>
    <t>Asociar cada input con un &lt;label for='id'&gt; visible o aria-label.</t>
  </si>
  <si>
    <t>&lt;input type="text" id="nombre"&gt;</t>
  </si>
  <si>
    <t>CAP-002</t>
  </si>
  <si>
    <t>F-003</t>
  </si>
  <si>
    <t>Navegación</t>
  </si>
  <si>
    <t>2.4.3 Orden del foco</t>
  </si>
  <si>
    <t>Operable</t>
  </si>
  <si>
    <t>Moderado</t>
  </si>
  <si>
    <t>Prueba con teclado</t>
  </si>
  <si>
    <t>El orden del Tab omite el menú de navegación principal.</t>
  </si>
  <si>
    <t>Los usuarios de teclado no pueden acceder a la navegación sin mouse.</t>
  </si>
  <si>
    <t>Asegurar que el orden del DOM coincida con el orden visual; eliminar tabindex=-1 de los elementos de nav.</t>
  </si>
  <si>
    <t>CAP-003</t>
  </si>
  <si>
    <t>METADATOS DE AUDITORÍA</t>
  </si>
  <si>
    <t>Sitio / Producto</t>
  </si>
  <si>
    <t>URL auditada</t>
  </si>
  <si>
    <t>Fecha de auditoría</t>
  </si>
  <si>
    <t>Nombre del auditor</t>
  </si>
  <si>
    <t>Victor Vigueras</t>
  </si>
  <si>
    <t>Versión WCAG</t>
  </si>
  <si>
    <t>Nivel de conformidad</t>
  </si>
  <si>
    <t>AA</t>
  </si>
  <si>
    <t>Estándares aplicados</t>
  </si>
  <si>
    <t>WCAG 2.1 AA / Section 508 / EN 301 549</t>
  </si>
  <si>
    <t>Herramientas utilizadas</t>
  </si>
  <si>
    <t>WAVE, axe DevTools, Chrome DevTools A11y, Teclado</t>
  </si>
  <si>
    <t>Navegadores probados</t>
  </si>
  <si>
    <t>Tecnología asistiva probada</t>
  </si>
  <si>
    <t>PÁGINAS / COMPONENTES EN ALCANCE</t>
  </si>
  <si>
    <t>#</t>
  </si>
  <si>
    <t>Nombre de página</t>
  </si>
  <si>
    <t>URL</t>
  </si>
  <si>
    <t>Dashboard de Resumen</t>
  </si>
  <si>
    <t>Total</t>
  </si>
  <si>
    <t>% del total</t>
  </si>
  <si>
    <t>En progreso</t>
  </si>
  <si>
    <t>Corregido</t>
  </si>
  <si>
    <t>Menor</t>
  </si>
  <si>
    <t>Diferido</t>
  </si>
  <si>
    <t>TOTAL</t>
  </si>
  <si>
    <t>No se corregirá</t>
  </si>
  <si>
    <t>WCAG 2.1 — Referencia Rápida (Criterios más comunes en auditorías)</t>
  </si>
  <si>
    <t>Criterio</t>
  </si>
  <si>
    <t>Nombre corto</t>
  </si>
  <si>
    <t>Nivel</t>
  </si>
  <si>
    <t>Principio</t>
  </si>
  <si>
    <t>Qué verificar</t>
  </si>
  <si>
    <t>Pregunta de auditoría</t>
  </si>
  <si>
    <t>1.1.1</t>
  </si>
  <si>
    <t>Contenido no textual</t>
  </si>
  <si>
    <t>Todas las imágenes, iconos y elementos no textuales tienen alt text significativo o están marcados como decorativos.</t>
  </si>
  <si>
    <t>¿Las imágenes informativas tienen alt text? ¿Las decorativas tienen alt=""?</t>
  </si>
  <si>
    <t>1.3.1</t>
  </si>
  <si>
    <t>Información y relaciones</t>
  </si>
  <si>
    <t>Se usa HTML semántico: headings, listas, tablas con encabezados, labels asociados a inputs.</t>
  </si>
  <si>
    <t>¿Hay divitis? ¿Los headings están en orden descendente? ¿Los labels están asociados?</t>
  </si>
  <si>
    <t>1.4.1</t>
  </si>
  <si>
    <t>Uso del color</t>
  </si>
  <si>
    <t>El color no es el único medio para transmitir información (ej. estados de error, campos requeridos).</t>
  </si>
  <si>
    <t>¿Se usa solo el color para indicar un error o campo requerido?</t>
  </si>
  <si>
    <t>1.4.3</t>
  </si>
  <si>
    <t>Contraste mínimo</t>
  </si>
  <si>
    <t>El texto tiene al menos 4.5:1 de contraste (3:1 para texto grande 18pt+ o 14pt bold).</t>
  </si>
  <si>
    <t>¿Hay texto con contraste bajo a primera vista? ¿El contraste está sobre un degradado?</t>
  </si>
  <si>
    <t>1.4.11</t>
  </si>
  <si>
    <t>Contraste no textual</t>
  </si>
  <si>
    <t>Los componentes UI (inputs, botones, indicadores de foco) tienen al menos 3:1 contra el fondo.</t>
  </si>
  <si>
    <t>¿Los botones e inputs se distinguen visualmente del fondo? ¿El indicador de foco tiene contraste suficiente?</t>
  </si>
  <si>
    <t>2.1.1</t>
  </si>
  <si>
    <t>Teclado</t>
  </si>
  <si>
    <t>Toda la funcionalidad está disponible por teclado. Sin trampas de teclado.</t>
  </si>
  <si>
    <t>¿Puedo acceder a todos los elementos accionables con Tab? ¿Hay trampas de teclado?</t>
  </si>
  <si>
    <t>2.4.1</t>
  </si>
  <si>
    <t>Evitar bloques</t>
  </si>
  <si>
    <t>Existe un link de salto para evitar contenido repetitivo.</t>
  </si>
  <si>
    <t>¿Hay un skip link visible al primer Tab que lleva al contenido principal?</t>
  </si>
  <si>
    <t>2.4.3</t>
  </si>
  <si>
    <t>Orden del foco</t>
  </si>
  <si>
    <t>El orden del Tab es lógico y sigue el orden visual de lectura.</t>
  </si>
  <si>
    <t>¿El orden del Tab sigue una secuencia lógica? ¿Hay saltos inesperados?</t>
  </si>
  <si>
    <t>2.4.4</t>
  </si>
  <si>
    <t>Propósito de los links</t>
  </si>
  <si>
    <t>El texto del link es descriptivo por sí solo o con contexto programático. Sin 'click aquí' aislados.</t>
  </si>
  <si>
    <t>¿Hay links que digan solo 'click aquí' o 'leer más'?</t>
  </si>
  <si>
    <t>2.4.7</t>
  </si>
  <si>
    <t>Foco visible</t>
  </si>
  <si>
    <t>El indicador de foco del teclado es visible en todo momento.</t>
  </si>
  <si>
    <t>¿El indicador de foco es visible en todos los elementos interactivos?</t>
  </si>
  <si>
    <t>3.1.1</t>
  </si>
  <si>
    <t>Idioma de la página</t>
  </si>
  <si>
    <t>Comprensible</t>
  </si>
  <si>
    <t>El atributo lang del HTML está configurado correctamente (ej. lang='es', lang='en').</t>
  </si>
  <si>
    <t>¿El atributo lang del &lt;html&gt; corresponde al idioma principal de la página?</t>
  </si>
  <si>
    <t>3.3.1</t>
  </si>
  <si>
    <t>Identificación de errores</t>
  </si>
  <si>
    <t>Los errores del formulario se identifican en texto y describen qué está mal.</t>
  </si>
  <si>
    <t>¿Los errores del formulario se muestran como texto — no solo con color o ícono?</t>
  </si>
  <si>
    <t>3.3.2</t>
  </si>
  <si>
    <t>Etiquetas o instrucciones</t>
  </si>
  <si>
    <t>Todos los inputs del formulario tienen labels visibles o instrucciones claras antes de enviarlo.</t>
  </si>
  <si>
    <t>¿Todos los campos tienen label visible? ¿El formato esperado se indica antes de enviar?</t>
  </si>
  <si>
    <t>3.3.3</t>
  </si>
  <si>
    <t>Sugerencia de error</t>
  </si>
  <si>
    <t>Cuando se detecta un error, se proporcionan sugerencias de corrección si se conocen.</t>
  </si>
  <si>
    <t>¿El mensaje de error explica cómo corregir el problema — no solo que existe?</t>
  </si>
  <si>
    <t>4.1.2</t>
  </si>
  <si>
    <t>Nombre, rol, valor</t>
  </si>
  <si>
    <t>Robusto</t>
  </si>
  <si>
    <t>Todos los componentes UI tienen nombre accesible, rol y estado expuestos a la tecnología asistiva.</t>
  </si>
  <si>
    <t>¿Los botones con solo ícono tienen nombre accesible? ¿Los estados se comunican (expandido/colapsado)?</t>
  </si>
  <si>
    <t>4.1.3</t>
  </si>
  <si>
    <t>Mensajes de estado</t>
  </si>
  <si>
    <t>Los mensajes de estado (éxito, error, progreso) son determinables programáticamente sin mover el foco.</t>
  </si>
  <si>
    <t>¿Los mensajes dinámicos usan aria-live? ¿Un spinner comunica su estado al lector de pantalla?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</si>
</sst>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b/>
      <sz val="11"/>
      <color rgb="FFE2E2E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5F7FA"/>
      </patternFill>
    </fill>
    <fill>
      <patternFill patternType="solid">
        <fgColor rgb="FFFF4C4C"/>
        <bgColor rgb="FFFF8080"/>
      </patternFill>
    </fill>
    <fill>
      <patternFill patternType="solid">
        <fgColor rgb="FFF5F7FA"/>
        <bgColor rgb="FFFEF9E7"/>
      </patternFill>
    </fill>
    <fill>
      <patternFill patternType="solid">
        <fgColor rgb="FFFF8C00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16213E"/>
        <bgColor rgb="FF1A1A2E"/>
      </patternFill>
    </fill>
    <fill>
      <patternFill patternType="solid">
        <fgColor rgb="FF90EE90"/>
        <bgColor rgb="FFCCCCC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5F7FA"/>
      </patternFill>
    </fill>
    <fill>
      <patternFill patternType="solid">
        <fgColor rgb="FFF9EBEA"/>
        <bgColor rgb="FFF5F7FA"/>
      </patternFill>
    </fill>
    <fill>
      <patternFill patternType="solid">
        <fgColor theme="1" tint="0.34998626667073579"/>
        <bgColor rgb="FF16213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8" fillId="5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9" fontId="4" fillId="0" borderId="1" xfId="0" applyNumberFormat="1" applyFont="1" applyBorder="1"/>
    <xf numFmtId="0" fontId="5" fillId="6" borderId="1" xfId="0" applyFont="1" applyFill="1" applyBorder="1"/>
    <xf numFmtId="0" fontId="6" fillId="7" borderId="1" xfId="0" applyFont="1" applyFill="1" applyBorder="1"/>
    <xf numFmtId="0" fontId="6" fillId="9" borderId="1" xfId="0" applyFont="1" applyFill="1" applyBorder="1"/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horizontal="left"/>
    </xf>
    <xf numFmtId="0" fontId="3" fillId="14" borderId="1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4" fillId="10" borderId="1" xfId="0" applyNumberFormat="1" applyFont="1" applyFill="1" applyBorder="1" applyAlignment="1">
      <alignment vertical="top" wrapText="1"/>
    </xf>
    <xf numFmtId="0" fontId="4" fillId="11" borderId="1" xfId="0" applyNumberFormat="1" applyFont="1" applyFill="1" applyBorder="1" applyAlignment="1">
      <alignment vertical="top" wrapText="1"/>
    </xf>
    <xf numFmtId="0" fontId="4" fillId="12" borderId="1" xfId="0" applyNumberFormat="1" applyFont="1" applyFill="1" applyBorder="1" applyAlignment="1">
      <alignment vertical="top" wrapText="1"/>
    </xf>
    <xf numFmtId="0" fontId="4" fillId="13" borderId="1" xfId="0" applyNumberFormat="1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5F5E3"/>
      <rgbColor rgb="FFF9EBEA"/>
      <rgbColor rgb="FF90EE90"/>
      <rgbColor rgb="FFFF99CC"/>
      <rgbColor rgb="FFCC99FF"/>
      <rgbColor rgb="FFFFCC99"/>
      <rgbColor rgb="FF3366FF"/>
      <rgbColor rgb="FF33CCCC"/>
      <rgbColor rgb="FF99CC00"/>
      <rgbColor rgb="FFFFD700"/>
      <rgbColor rgb="FFFF8C00"/>
      <rgbColor rgb="FFFF4C4C"/>
      <rgbColor rgb="FF666699"/>
      <rgbColor rgb="FF969696"/>
      <rgbColor rgb="FF16213E"/>
      <rgbColor rgb="FF339966"/>
      <rgbColor rgb="FF003300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zoomScaleNormal="100" workbookViewId="0">
      <pane ySplit="2" topLeftCell="A3" activePane="bottomLeft" state="frozen"/>
      <selection pane="bottomLeft" activeCell="H5" sqref="H5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26" customWidth="1"/>
    <col min="4" max="4" width="16" customWidth="1"/>
    <col min="5" max="5" width="11.33203125" customWidth="1"/>
    <col min="6" max="6" width="12" customWidth="1"/>
    <col min="7" max="7" width="18" customWidth="1"/>
    <col min="8" max="8" width="40" customWidth="1"/>
    <col min="9" max="9" width="36" customWidth="1"/>
    <col min="10" max="10" width="40" customWidth="1"/>
    <col min="11" max="11" width="30" customWidth="1"/>
    <col min="12" max="12" width="18" customWidth="1"/>
    <col min="13" max="13" width="24" customWidth="1"/>
    <col min="14" max="14" width="16" customWidth="1"/>
  </cols>
  <sheetData>
    <row r="1" spans="1:14" ht="25" customHeight="1" x14ac:dyDescent="0.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51" customHeight="1" x14ac:dyDescent="0.2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25" t="s">
        <v>13</v>
      </c>
      <c r="N2" s="25" t="s">
        <v>14</v>
      </c>
    </row>
    <row r="3" spans="1:14" ht="48" customHeight="1" x14ac:dyDescent="0.2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/>
      <c r="N3" s="5" t="s">
        <v>27</v>
      </c>
    </row>
    <row r="4" spans="1:14" ht="48" customHeight="1" x14ac:dyDescent="0.2">
      <c r="A4" s="7" t="s">
        <v>28</v>
      </c>
      <c r="B4" s="7" t="s">
        <v>29</v>
      </c>
      <c r="C4" s="7" t="s">
        <v>30</v>
      </c>
      <c r="D4" s="7" t="s">
        <v>18</v>
      </c>
      <c r="E4" s="7" t="s">
        <v>19</v>
      </c>
      <c r="F4" s="8" t="s">
        <v>31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7" t="s">
        <v>26</v>
      </c>
      <c r="M4" s="7"/>
      <c r="N4" s="7" t="s">
        <v>37</v>
      </c>
    </row>
    <row r="5" spans="1:14" ht="48" customHeight="1" x14ac:dyDescent="0.2">
      <c r="A5" s="5" t="s">
        <v>38</v>
      </c>
      <c r="B5" s="5" t="s">
        <v>39</v>
      </c>
      <c r="C5" s="5" t="s">
        <v>40</v>
      </c>
      <c r="D5" s="5" t="s">
        <v>41</v>
      </c>
      <c r="E5" s="5" t="s">
        <v>19</v>
      </c>
      <c r="F5" s="9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/>
      <c r="L5" s="5" t="s">
        <v>26</v>
      </c>
      <c r="M5" s="5"/>
      <c r="N5" s="5" t="s">
        <v>47</v>
      </c>
    </row>
  </sheetData>
  <mergeCells count="1">
    <mergeCell ref="A1:N1"/>
  </mergeCells>
  <dataValidations count="4">
    <dataValidation type="list" sqref="F3:F200" xr:uid="{00000000-0002-0000-0000-000000000000}">
      <formula1>"Crítico,Serio,Moderado,Menor"</formula1>
      <formula2>0</formula2>
    </dataValidation>
    <dataValidation type="list" sqref="D3:D200" xr:uid="{00000000-0002-0000-0000-000001000000}">
      <formula1>"Perceptible,Operable,Comprensible,Robusto"</formula1>
      <formula2>0</formula2>
    </dataValidation>
    <dataValidation type="list" sqref="E3:E200" xr:uid="{00000000-0002-0000-0000-000002000000}">
      <formula1>"A,AA,AAA"</formula1>
      <formula2>0</formula2>
    </dataValidation>
    <dataValidation type="list" sqref="L3:L200" xr:uid="{00000000-0002-0000-0000-000003000000}">
      <formula1>"Abierto,En progreso,Corregido,Diferido,No se corregirá"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9"/>
  <sheetViews>
    <sheetView zoomScaleNormal="100" workbookViewId="0">
      <selection activeCell="A17" sqref="A17:A19"/>
    </sheetView>
  </sheetViews>
  <sheetFormatPr baseColWidth="10" defaultColWidth="8.6640625" defaultRowHeight="15" x14ac:dyDescent="0.2"/>
  <cols>
    <col min="1" max="1" width="32" customWidth="1"/>
    <col min="2" max="2" width="36" customWidth="1"/>
    <col min="3" max="3" width="40" customWidth="1"/>
  </cols>
  <sheetData>
    <row r="2" spans="1:3" ht="15" customHeight="1" x14ac:dyDescent="0.2">
      <c r="A2" s="2" t="s">
        <v>48</v>
      </c>
      <c r="B2" s="2"/>
      <c r="C2" s="2"/>
    </row>
    <row r="3" spans="1:3" x14ac:dyDescent="0.2">
      <c r="A3" s="10" t="s">
        <v>49</v>
      </c>
      <c r="B3" s="11"/>
    </row>
    <row r="4" spans="1:3" x14ac:dyDescent="0.2">
      <c r="A4" s="10" t="s">
        <v>50</v>
      </c>
      <c r="B4" s="11"/>
    </row>
    <row r="5" spans="1:3" x14ac:dyDescent="0.2">
      <c r="A5" s="10" t="s">
        <v>51</v>
      </c>
      <c r="B5" s="11"/>
    </row>
    <row r="6" spans="1:3" x14ac:dyDescent="0.2">
      <c r="A6" s="10" t="s">
        <v>52</v>
      </c>
      <c r="B6" s="11" t="s">
        <v>53</v>
      </c>
    </row>
    <row r="7" spans="1:3" x14ac:dyDescent="0.2">
      <c r="A7" s="10" t="s">
        <v>54</v>
      </c>
      <c r="B7" s="24">
        <v>2.1</v>
      </c>
    </row>
    <row r="8" spans="1:3" x14ac:dyDescent="0.2">
      <c r="A8" s="10" t="s">
        <v>55</v>
      </c>
      <c r="B8" s="11" t="s">
        <v>56</v>
      </c>
    </row>
    <row r="9" spans="1:3" x14ac:dyDescent="0.2">
      <c r="A9" s="10" t="s">
        <v>57</v>
      </c>
      <c r="B9" s="11" t="s">
        <v>58</v>
      </c>
    </row>
    <row r="10" spans="1:3" x14ac:dyDescent="0.2">
      <c r="A10" s="10" t="s">
        <v>59</v>
      </c>
      <c r="B10" s="11" t="s">
        <v>60</v>
      </c>
    </row>
    <row r="11" spans="1:3" x14ac:dyDescent="0.2">
      <c r="A11" s="10" t="s">
        <v>61</v>
      </c>
      <c r="B11" s="11"/>
    </row>
    <row r="12" spans="1:3" x14ac:dyDescent="0.2">
      <c r="A12" s="10" t="s">
        <v>62</v>
      </c>
      <c r="B12" s="11"/>
    </row>
    <row r="13" spans="1:3" x14ac:dyDescent="0.2">
      <c r="A13" s="10"/>
      <c r="B13" s="11"/>
    </row>
    <row r="14" spans="1:3" ht="15" customHeight="1" x14ac:dyDescent="0.2">
      <c r="A14" s="2" t="s">
        <v>63</v>
      </c>
      <c r="B14" s="2"/>
      <c r="C14" s="2"/>
    </row>
    <row r="16" spans="1:3" x14ac:dyDescent="0.2">
      <c r="A16" s="4" t="s">
        <v>64</v>
      </c>
      <c r="B16" s="4" t="s">
        <v>65</v>
      </c>
      <c r="C16" s="4" t="s">
        <v>66</v>
      </c>
    </row>
    <row r="17" spans="1:3" x14ac:dyDescent="0.2">
      <c r="A17" s="27">
        <v>1</v>
      </c>
      <c r="B17" s="12" t="s">
        <v>16</v>
      </c>
      <c r="C17" s="12"/>
    </row>
    <row r="18" spans="1:3" x14ac:dyDescent="0.2">
      <c r="A18" s="27">
        <v>2</v>
      </c>
      <c r="B18" s="12" t="s">
        <v>29</v>
      </c>
      <c r="C18" s="12"/>
    </row>
    <row r="19" spans="1:3" x14ac:dyDescent="0.2">
      <c r="A19" s="27">
        <v>3</v>
      </c>
      <c r="B19" s="12" t="s">
        <v>39</v>
      </c>
      <c r="C19" s="12"/>
    </row>
  </sheetData>
  <mergeCells count="2">
    <mergeCell ref="A2:C2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16" customWidth="1"/>
    <col min="2" max="2" width="10" customWidth="1"/>
    <col min="3" max="3" width="12" customWidth="1"/>
    <col min="4" max="4" width="4" customWidth="1"/>
    <col min="5" max="5" width="22" customWidth="1"/>
    <col min="6" max="6" width="10" customWidth="1"/>
  </cols>
  <sheetData>
    <row r="1" spans="1:6" ht="27.75" customHeight="1" x14ac:dyDescent="0.2">
      <c r="A1" s="3" t="s">
        <v>67</v>
      </c>
      <c r="B1" s="3"/>
      <c r="C1" s="3"/>
      <c r="D1" s="3"/>
    </row>
    <row r="3" spans="1:6" x14ac:dyDescent="0.2">
      <c r="A3" s="13" t="s">
        <v>6</v>
      </c>
      <c r="E3" s="13" t="s">
        <v>12</v>
      </c>
    </row>
    <row r="4" spans="1:6" x14ac:dyDescent="0.2">
      <c r="A4" s="14" t="s">
        <v>6</v>
      </c>
      <c r="B4" s="14" t="s">
        <v>68</v>
      </c>
      <c r="C4" s="14" t="s">
        <v>69</v>
      </c>
      <c r="E4" s="14" t="s">
        <v>12</v>
      </c>
      <c r="F4" s="14" t="s">
        <v>68</v>
      </c>
    </row>
    <row r="5" spans="1:6" x14ac:dyDescent="0.2">
      <c r="A5" s="15" t="s">
        <v>20</v>
      </c>
      <c r="B5" s="12">
        <f>COUNTIF('Registro de Hallazgos'!F:F,"Crítico")</f>
        <v>1</v>
      </c>
      <c r="C5" s="16">
        <f>IF(B9&gt;0,B5/B9,0)</f>
        <v>0.33333333333333331</v>
      </c>
      <c r="E5" s="12" t="s">
        <v>26</v>
      </c>
      <c r="F5" s="12">
        <f>COUNTIF('Registro de Hallazgos'!L:L,"Abierto")</f>
        <v>3</v>
      </c>
    </row>
    <row r="6" spans="1:6" x14ac:dyDescent="0.2">
      <c r="A6" s="17" t="s">
        <v>31</v>
      </c>
      <c r="B6" s="12">
        <f>COUNTIF('Registro de Hallazgos'!F:F,"Serio")</f>
        <v>1</v>
      </c>
      <c r="C6" s="16">
        <f>IF(B9&gt;0,B6/B9,0)</f>
        <v>0.33333333333333331</v>
      </c>
      <c r="E6" s="12" t="s">
        <v>70</v>
      </c>
      <c r="F6" s="12">
        <f>COUNTIF('Registro de Hallazgos'!L:L,"En progreso")</f>
        <v>0</v>
      </c>
    </row>
    <row r="7" spans="1:6" x14ac:dyDescent="0.2">
      <c r="A7" s="18" t="s">
        <v>42</v>
      </c>
      <c r="B7" s="12">
        <f>COUNTIF('Registro de Hallazgos'!F:F,"Moderado")</f>
        <v>1</v>
      </c>
      <c r="C7" s="16">
        <f>IF(B9&gt;0,B7/B9,0)</f>
        <v>0.33333333333333331</v>
      </c>
      <c r="E7" s="12" t="s">
        <v>71</v>
      </c>
      <c r="F7" s="12">
        <f>COUNTIF('Registro de Hallazgos'!L:L,"Corregido")</f>
        <v>0</v>
      </c>
    </row>
    <row r="8" spans="1:6" x14ac:dyDescent="0.2">
      <c r="A8" s="19" t="s">
        <v>72</v>
      </c>
      <c r="B8" s="12">
        <f>COUNTIF('Registro de Hallazgos'!F:F,"Menor")</f>
        <v>0</v>
      </c>
      <c r="C8" s="16">
        <f>IF(B9&gt;0,B8/B9,0)</f>
        <v>0</v>
      </c>
      <c r="E8" s="12" t="s">
        <v>73</v>
      </c>
      <c r="F8" s="12">
        <f>COUNTIF('Registro de Hallazgos'!L:L,"Diferido")</f>
        <v>0</v>
      </c>
    </row>
    <row r="9" spans="1:6" x14ac:dyDescent="0.2">
      <c r="A9" s="10" t="s">
        <v>74</v>
      </c>
      <c r="B9" s="10">
        <f>SUM(B5:B8)</f>
        <v>3</v>
      </c>
      <c r="E9" s="12" t="s">
        <v>75</v>
      </c>
      <c r="F9" s="12">
        <f>COUNTIF('Registro de Hallazgos'!L:L,"No se corregirá")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abSelected="1" zoomScaleNormal="100" workbookViewId="0">
      <selection activeCell="F3" sqref="F3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8" customWidth="1"/>
    <col min="4" max="4" width="16" customWidth="1"/>
    <col min="5" max="5" width="50" customWidth="1"/>
    <col min="6" max="6" width="58" customWidth="1"/>
  </cols>
  <sheetData>
    <row r="1" spans="1:6" ht="24" customHeight="1" x14ac:dyDescent="0.2">
      <c r="A1" s="1" t="s">
        <v>76</v>
      </c>
      <c r="B1" s="1"/>
      <c r="C1" s="1"/>
      <c r="D1" s="1"/>
      <c r="E1" s="1"/>
      <c r="F1" s="1"/>
    </row>
    <row r="2" spans="1:6" x14ac:dyDescent="0.2">
      <c r="A2" s="14" t="s">
        <v>77</v>
      </c>
      <c r="B2" s="14" t="s">
        <v>78</v>
      </c>
      <c r="C2" s="14" t="s">
        <v>79</v>
      </c>
      <c r="D2" s="14" t="s">
        <v>80</v>
      </c>
      <c r="E2" s="14" t="s">
        <v>81</v>
      </c>
      <c r="F2" s="14" t="s">
        <v>82</v>
      </c>
    </row>
    <row r="3" spans="1:6" ht="48" customHeight="1" x14ac:dyDescent="0.2">
      <c r="A3" s="28" t="s">
        <v>83</v>
      </c>
      <c r="B3" s="20" t="s">
        <v>84</v>
      </c>
      <c r="C3" s="20" t="s">
        <v>19</v>
      </c>
      <c r="D3" s="20" t="s">
        <v>18</v>
      </c>
      <c r="E3" s="20" t="s">
        <v>85</v>
      </c>
      <c r="F3" s="32" t="s">
        <v>86</v>
      </c>
    </row>
    <row r="4" spans="1:6" ht="48" customHeight="1" x14ac:dyDescent="0.2">
      <c r="A4" s="28" t="s">
        <v>87</v>
      </c>
      <c r="B4" s="20" t="s">
        <v>88</v>
      </c>
      <c r="C4" s="20" t="s">
        <v>19</v>
      </c>
      <c r="D4" s="20" t="s">
        <v>18</v>
      </c>
      <c r="E4" s="20" t="s">
        <v>89</v>
      </c>
      <c r="F4" s="20" t="s">
        <v>90</v>
      </c>
    </row>
    <row r="5" spans="1:6" ht="48" customHeight="1" x14ac:dyDescent="0.2">
      <c r="A5" s="28" t="s">
        <v>91</v>
      </c>
      <c r="B5" s="20" t="s">
        <v>92</v>
      </c>
      <c r="C5" s="20" t="s">
        <v>19</v>
      </c>
      <c r="D5" s="20" t="s">
        <v>18</v>
      </c>
      <c r="E5" s="20" t="s">
        <v>93</v>
      </c>
      <c r="F5" s="20" t="s">
        <v>94</v>
      </c>
    </row>
    <row r="6" spans="1:6" ht="48" customHeight="1" x14ac:dyDescent="0.2">
      <c r="A6" s="28" t="s">
        <v>95</v>
      </c>
      <c r="B6" s="20" t="s">
        <v>96</v>
      </c>
      <c r="C6" s="20" t="s">
        <v>56</v>
      </c>
      <c r="D6" s="20" t="s">
        <v>18</v>
      </c>
      <c r="E6" s="20" t="s">
        <v>97</v>
      </c>
      <c r="F6" s="20" t="s">
        <v>98</v>
      </c>
    </row>
    <row r="7" spans="1:6" ht="48" customHeight="1" x14ac:dyDescent="0.2">
      <c r="A7" s="28" t="s">
        <v>99</v>
      </c>
      <c r="B7" s="20" t="s">
        <v>100</v>
      </c>
      <c r="C7" s="20" t="s">
        <v>56</v>
      </c>
      <c r="D7" s="20" t="s">
        <v>18</v>
      </c>
      <c r="E7" s="20" t="s">
        <v>101</v>
      </c>
      <c r="F7" s="20" t="s">
        <v>102</v>
      </c>
    </row>
    <row r="8" spans="1:6" ht="48" customHeight="1" x14ac:dyDescent="0.2">
      <c r="A8" s="29" t="s">
        <v>103</v>
      </c>
      <c r="B8" s="21" t="s">
        <v>104</v>
      </c>
      <c r="C8" s="21" t="s">
        <v>19</v>
      </c>
      <c r="D8" s="21" t="s">
        <v>41</v>
      </c>
      <c r="E8" s="21" t="s">
        <v>105</v>
      </c>
      <c r="F8" s="21" t="s">
        <v>106</v>
      </c>
    </row>
    <row r="9" spans="1:6" ht="48" customHeight="1" x14ac:dyDescent="0.2">
      <c r="A9" s="29" t="s">
        <v>107</v>
      </c>
      <c r="B9" s="21" t="s">
        <v>108</v>
      </c>
      <c r="C9" s="21" t="s">
        <v>19</v>
      </c>
      <c r="D9" s="21" t="s">
        <v>41</v>
      </c>
      <c r="E9" s="21" t="s">
        <v>109</v>
      </c>
      <c r="F9" s="21" t="s">
        <v>110</v>
      </c>
    </row>
    <row r="10" spans="1:6" ht="48" customHeight="1" x14ac:dyDescent="0.2">
      <c r="A10" s="29" t="s">
        <v>111</v>
      </c>
      <c r="B10" s="21" t="s">
        <v>112</v>
      </c>
      <c r="C10" s="21" t="s">
        <v>19</v>
      </c>
      <c r="D10" s="21" t="s">
        <v>41</v>
      </c>
      <c r="E10" s="21" t="s">
        <v>113</v>
      </c>
      <c r="F10" s="21" t="s">
        <v>114</v>
      </c>
    </row>
    <row r="11" spans="1:6" ht="48" customHeight="1" x14ac:dyDescent="0.2">
      <c r="A11" s="29" t="s">
        <v>115</v>
      </c>
      <c r="B11" s="21" t="s">
        <v>116</v>
      </c>
      <c r="C11" s="21" t="s">
        <v>19</v>
      </c>
      <c r="D11" s="21" t="s">
        <v>41</v>
      </c>
      <c r="E11" s="21" t="s">
        <v>117</v>
      </c>
      <c r="F11" s="21" t="s">
        <v>118</v>
      </c>
    </row>
    <row r="12" spans="1:6" ht="48" customHeight="1" x14ac:dyDescent="0.2">
      <c r="A12" s="29" t="s">
        <v>119</v>
      </c>
      <c r="B12" s="21" t="s">
        <v>120</v>
      </c>
      <c r="C12" s="21" t="s">
        <v>56</v>
      </c>
      <c r="D12" s="21" t="s">
        <v>41</v>
      </c>
      <c r="E12" s="21" t="s">
        <v>121</v>
      </c>
      <c r="F12" s="21" t="s">
        <v>122</v>
      </c>
    </row>
    <row r="13" spans="1:6" ht="48" customHeight="1" x14ac:dyDescent="0.2">
      <c r="A13" s="30" t="s">
        <v>123</v>
      </c>
      <c r="B13" s="22" t="s">
        <v>124</v>
      </c>
      <c r="C13" s="22" t="s">
        <v>19</v>
      </c>
      <c r="D13" s="22" t="s">
        <v>125</v>
      </c>
      <c r="E13" s="22" t="s">
        <v>126</v>
      </c>
      <c r="F13" s="22" t="s">
        <v>127</v>
      </c>
    </row>
    <row r="14" spans="1:6" ht="48" customHeight="1" x14ac:dyDescent="0.2">
      <c r="A14" s="30" t="s">
        <v>128</v>
      </c>
      <c r="B14" s="22" t="s">
        <v>129</v>
      </c>
      <c r="C14" s="22" t="s">
        <v>19</v>
      </c>
      <c r="D14" s="22" t="s">
        <v>125</v>
      </c>
      <c r="E14" s="22" t="s">
        <v>130</v>
      </c>
      <c r="F14" s="22" t="s">
        <v>131</v>
      </c>
    </row>
    <row r="15" spans="1:6" ht="48" customHeight="1" x14ac:dyDescent="0.2">
      <c r="A15" s="30" t="s">
        <v>132</v>
      </c>
      <c r="B15" s="22" t="s">
        <v>133</v>
      </c>
      <c r="C15" s="22" t="s">
        <v>19</v>
      </c>
      <c r="D15" s="22" t="s">
        <v>125</v>
      </c>
      <c r="E15" s="22" t="s">
        <v>134</v>
      </c>
      <c r="F15" s="22" t="s">
        <v>135</v>
      </c>
    </row>
    <row r="16" spans="1:6" ht="48" customHeight="1" x14ac:dyDescent="0.2">
      <c r="A16" s="30" t="s">
        <v>136</v>
      </c>
      <c r="B16" s="22" t="s">
        <v>137</v>
      </c>
      <c r="C16" s="22" t="s">
        <v>56</v>
      </c>
      <c r="D16" s="22" t="s">
        <v>125</v>
      </c>
      <c r="E16" s="22" t="s">
        <v>138</v>
      </c>
      <c r="F16" s="22" t="s">
        <v>139</v>
      </c>
    </row>
    <row r="17" spans="1:6" ht="48" customHeight="1" x14ac:dyDescent="0.2">
      <c r="A17" s="31" t="s">
        <v>140</v>
      </c>
      <c r="B17" s="23" t="s">
        <v>141</v>
      </c>
      <c r="C17" s="23" t="s">
        <v>19</v>
      </c>
      <c r="D17" s="23" t="s">
        <v>142</v>
      </c>
      <c r="E17" s="23" t="s">
        <v>143</v>
      </c>
      <c r="F17" s="23" t="s">
        <v>144</v>
      </c>
    </row>
    <row r="18" spans="1:6" ht="48" customHeight="1" x14ac:dyDescent="0.2">
      <c r="A18" s="31" t="s">
        <v>145</v>
      </c>
      <c r="B18" s="23" t="s">
        <v>146</v>
      </c>
      <c r="C18" s="23" t="s">
        <v>56</v>
      </c>
      <c r="D18" s="23" t="s">
        <v>142</v>
      </c>
      <c r="E18" s="23" t="s">
        <v>147</v>
      </c>
      <c r="F18" s="23" t="s">
        <v>148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 de Hallazgos</vt:lpstr>
      <vt:lpstr>Alcance</vt:lpstr>
      <vt:lpstr>Resumen</vt:lpstr>
      <vt:lpstr>Referencia WCAG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Hugo Vigueras Diaz - Alumno</cp:lastModifiedBy>
  <cp:revision>0</cp:revision>
  <dcterms:created xsi:type="dcterms:W3CDTF">2026-04-03T03:05:17Z</dcterms:created>
  <dcterms:modified xsi:type="dcterms:W3CDTF">2026-04-03T19:45:58Z</dcterms:modified>
  <dc:language>en-US</dc:language>
</cp:coreProperties>
</file>