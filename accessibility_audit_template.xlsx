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victorhugoviguerasdiaz/Documents/LevelAcces/2026/repo_files/"/>
    </mc:Choice>
  </mc:AlternateContent>
  <xr:revisionPtr revIDLastSave="0" documentId="13_ncr:1_{667580E3-BC0C-714F-893D-3C10F1A99376}" xr6:coauthVersionLast="47" xr6:coauthVersionMax="47" xr10:uidLastSave="{00000000-0000-0000-0000-000000000000}"/>
  <bookViews>
    <workbookView xWindow="38400" yWindow="0" windowWidth="38400" windowHeight="21600" tabRatio="500" activeTab="3" xr2:uid="{00000000-000D-0000-FFFF-FFFF00000000}"/>
  </bookViews>
  <sheets>
    <sheet name="Audit Log" sheetId="1" r:id="rId1"/>
    <sheet name="Audit Scope" sheetId="2" r:id="rId2"/>
    <sheet name="Summary" sheetId="3" r:id="rId3"/>
    <sheet name="WCAG Quick Ref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" i="3" l="1"/>
  <c r="F8" i="3"/>
  <c r="B8" i="3"/>
  <c r="F7" i="3"/>
  <c r="B7" i="3"/>
  <c r="F6" i="3"/>
  <c r="B6" i="3"/>
  <c r="F5" i="3"/>
  <c r="B5" i="3"/>
  <c r="B9" i="3" s="1"/>
  <c r="C5" i="3" l="1"/>
  <c r="C6" i="3"/>
  <c r="C8" i="3"/>
  <c r="C7" i="3"/>
</calcChain>
</file>

<file path=xl/sharedStrings.xml><?xml version="1.0" encoding="utf-8"?>
<sst xmlns="http://schemas.openxmlformats.org/spreadsheetml/2006/main" count="196" uniqueCount="149">
  <si>
    <t>Accessibility Audit — Finding Log</t>
  </si>
  <si>
    <t>ID</t>
  </si>
  <si>
    <t>Page / Component</t>
  </si>
  <si>
    <t>WCAG Criterion</t>
  </si>
  <si>
    <t>Principle
(POUR)</t>
  </si>
  <si>
    <t>Level
(A/AA/AAA)</t>
  </si>
  <si>
    <t>Severity</t>
  </si>
  <si>
    <t>Tool Used</t>
  </si>
  <si>
    <t>Issue Description</t>
  </si>
  <si>
    <t>Impact on User</t>
  </si>
  <si>
    <t>Recommendation</t>
  </si>
  <si>
    <t>Code Snippet
(optional)</t>
  </si>
  <si>
    <t>Status</t>
  </si>
  <si>
    <t>Notes</t>
  </si>
  <si>
    <t>Screenshot Ref</t>
  </si>
  <si>
    <t>F-001</t>
  </si>
  <si>
    <t>Homepage</t>
  </si>
  <si>
    <t>1.1.1 Non-text Content</t>
  </si>
  <si>
    <t>Perceivable</t>
  </si>
  <si>
    <t>A</t>
  </si>
  <si>
    <t>Critical</t>
  </si>
  <si>
    <t>WAVE / axe</t>
  </si>
  <si>
    <t>Hero image has no alt attribute.</t>
  </si>
  <si>
    <t>Screen reader users receive no information about the image.</t>
  </si>
  <si>
    <t>Add descriptive alt text: alt="[description]".</t>
  </si>
  <si>
    <t>&lt;img src="hero.jpg"&gt;</t>
  </si>
  <si>
    <t>Open</t>
  </si>
  <si>
    <t>SS-001</t>
  </si>
  <si>
    <t>F-002</t>
  </si>
  <si>
    <t>Contact Form</t>
  </si>
  <si>
    <t>1.3.1 Info and Relationships</t>
  </si>
  <si>
    <t>Serious</t>
  </si>
  <si>
    <t>axe DevTools</t>
  </si>
  <si>
    <t>Form inputs lack associated &lt;label&gt; elements.</t>
  </si>
  <si>
    <t>Users of assistive technology cannot identify field purpose.</t>
  </si>
  <si>
    <t>Associate each input with a visible &lt;label for='id'&gt; or aria-label.</t>
  </si>
  <si>
    <t>&lt;input type="text" id="name"&gt;</t>
  </si>
  <si>
    <t>SS-002</t>
  </si>
  <si>
    <t>F-003</t>
  </si>
  <si>
    <t>Navigation</t>
  </si>
  <si>
    <t>2.4.3 Focus Order</t>
  </si>
  <si>
    <t>Operable</t>
  </si>
  <si>
    <t>Moderate</t>
  </si>
  <si>
    <t>Keyboard test</t>
  </si>
  <si>
    <t>Tab order skips the main navigation menu.</t>
  </si>
  <si>
    <t>Keyboard users cannot access navigation without a mouse.</t>
  </si>
  <si>
    <t>Ensure DOM order matches visual order; remove tabindex=-1 from nav items.</t>
  </si>
  <si>
    <t>SS-003</t>
  </si>
  <si>
    <t>AUDIT METADATA</t>
  </si>
  <si>
    <t>Site / Product Name</t>
  </si>
  <si>
    <t>URL Audited</t>
  </si>
  <si>
    <t>Audit Date</t>
  </si>
  <si>
    <t>Auditor Name</t>
  </si>
  <si>
    <t>Victor Vigueras</t>
  </si>
  <si>
    <t>WCAG Version</t>
  </si>
  <si>
    <t>Conformance Level</t>
  </si>
  <si>
    <t>AA</t>
  </si>
  <si>
    <t>Standards Applied</t>
  </si>
  <si>
    <t>WCAG 2.1 AA / Section 508 / EN 301 549</t>
  </si>
  <si>
    <t>Tools Used</t>
  </si>
  <si>
    <t>WAVE, axe DevTools, Chrome DevTools A11y Panel, Keyboard</t>
  </si>
  <si>
    <t>Browsers Tested</t>
  </si>
  <si>
    <t>Assistive Tech Tested</t>
  </si>
  <si>
    <t>PAGES / COMPONENTS IN SCOPE</t>
  </si>
  <si>
    <t>#</t>
  </si>
  <si>
    <t>Page Name</t>
  </si>
  <si>
    <t>URL</t>
  </si>
  <si>
    <t>Audit Summary Dashboard</t>
  </si>
  <si>
    <t>Count</t>
  </si>
  <si>
    <t>% of Total</t>
  </si>
  <si>
    <t>In Progress</t>
  </si>
  <si>
    <t>Fixed</t>
  </si>
  <si>
    <t>Minor</t>
  </si>
  <si>
    <t>Deferred</t>
  </si>
  <si>
    <t>TOTAL</t>
  </si>
  <si>
    <t>Won't Fix</t>
  </si>
  <si>
    <t>WCAG 2.1 — Quick Reference (Most Common in Audits)</t>
  </si>
  <si>
    <t>Criterion</t>
  </si>
  <si>
    <t>Short Name</t>
  </si>
  <si>
    <t>Level</t>
  </si>
  <si>
    <t>Principle</t>
  </si>
  <si>
    <t>What to Check</t>
  </si>
  <si>
    <t>1.1.1</t>
  </si>
  <si>
    <t>Non-text Content</t>
  </si>
  <si>
    <t>All images, icons, and non-text elements have meaningful alt text or are marked decorative.</t>
  </si>
  <si>
    <t>1.3.1</t>
  </si>
  <si>
    <t>Info and Relationships</t>
  </si>
  <si>
    <t>Semantic HTML used: headings, lists, tables with headers, form labels associated to inputs.</t>
  </si>
  <si>
    <t>1.4.1</t>
  </si>
  <si>
    <t>Use of Color</t>
  </si>
  <si>
    <t>Color is not the only means to convey information (e.g., error states, required fields).</t>
  </si>
  <si>
    <t>1.4.3</t>
  </si>
  <si>
    <t>Contrast (Minimum)</t>
  </si>
  <si>
    <t>Text has at least 4.5:1 contrast ratio (3:1 for large text 18pt+ or 14pt bold).</t>
  </si>
  <si>
    <t>1.4.11</t>
  </si>
  <si>
    <t>Non-text Contrast</t>
  </si>
  <si>
    <t>UI components (inputs, buttons, focus indicators) have at least 3:1 contrast against background.</t>
  </si>
  <si>
    <t>2.1.1</t>
  </si>
  <si>
    <t>Keyboard</t>
  </si>
  <si>
    <t>All functionality available via keyboard. No keyboard trap.</t>
  </si>
  <si>
    <t>2.4.1</t>
  </si>
  <si>
    <t>Bypass Blocks</t>
  </si>
  <si>
    <t>Skip navigation link present to bypass repetitive content.</t>
  </si>
  <si>
    <t>2.4.3</t>
  </si>
  <si>
    <t>Focus Order</t>
  </si>
  <si>
    <t>Tab order is logical and follows visual reading order.</t>
  </si>
  <si>
    <t>2.4.4</t>
  </si>
  <si>
    <t>Link Purpose</t>
  </si>
  <si>
    <t>Link text is descriptive on its own or with programmatic context. No bare 'click here'.</t>
  </si>
  <si>
    <t>2.4.7</t>
  </si>
  <si>
    <t>Focus Visible</t>
  </si>
  <si>
    <t>Keyboard focus indicator is visible at all times.</t>
  </si>
  <si>
    <t>3.1.1</t>
  </si>
  <si>
    <t>Language of Page</t>
  </si>
  <si>
    <t>Understandable</t>
  </si>
  <si>
    <t>HTML lang attribute set correctly (e.g., lang='es', lang='en').</t>
  </si>
  <si>
    <t>3.3.1</t>
  </si>
  <si>
    <t>Error Identification</t>
  </si>
  <si>
    <t>Form errors are identified in text and describe what is wrong.</t>
  </si>
  <si>
    <t>3.3.2</t>
  </si>
  <si>
    <t>Labels or Instructions</t>
  </si>
  <si>
    <t>All form inputs have visible labels or clear instructions before submission.</t>
  </si>
  <si>
    <t>3.3.3</t>
  </si>
  <si>
    <t>Error Suggestion</t>
  </si>
  <si>
    <t>When an error is detected, suggestions for correction are provided if known.</t>
  </si>
  <si>
    <t>4.1.2</t>
  </si>
  <si>
    <t>Name, Role, Value</t>
  </si>
  <si>
    <t>Robust</t>
  </si>
  <si>
    <t>All UI components have accessible name, role, and state exposed to assistive tech.</t>
  </si>
  <si>
    <t>4.1.3</t>
  </si>
  <si>
    <t>Status Messages</t>
  </si>
  <si>
    <t>Status messages (success, error, progress) are programmatically determinable without focus.</t>
  </si>
  <si>
    <t>Audit Question (EN)</t>
  </si>
  <si>
    <t>Do informative images have alt text? Are decorative images marked with alt=""?</t>
  </si>
  <si>
    <t>Is there div soup? Are headings in descending order? Are labels associated with inputs?</t>
  </si>
  <si>
    <t>Is color the only means used to indicate an error or required field?</t>
  </si>
  <si>
    <t>Is there any low-contrast text at first glance? Is any text placed over a gradient?</t>
  </si>
  <si>
    <t>Do buttons and inputs stand out visually from the background? Does the focus indicator have sufficient contrast?</t>
  </si>
  <si>
    <t>Can I reach all actionable elements with Tab? Are there any keyboard traps?</t>
  </si>
  <si>
    <t>Is there a visible skip link on the first Tab that leads to the main content?</t>
  </si>
  <si>
    <t>Does the Tab order follow a logical reading sequence? Are there any unexpected jumps?</t>
  </si>
  <si>
    <t>Are there links that say only 'click here' or 'read more'?</t>
  </si>
  <si>
    <t>Is the focus indicator visible on all interactive elements?</t>
  </si>
  <si>
    <t>Does the lang attribute on &lt;html&gt; match the primary language of the page?</t>
  </si>
  <si>
    <t>Are form errors shown as text — not just indicated by color or icon?</t>
  </si>
  <si>
    <t>Do all fields have a visible label? Is the expected format indicated before submission?</t>
  </si>
  <si>
    <t>Does the error message explain how to fix the problem — not just that one exists?</t>
  </si>
  <si>
    <t>Do icon-only buttons have an accessible name? Are component states communicated (expanded/collapsed)?</t>
  </si>
  <si>
    <t>Do dynamic messages use aria-live? Does a spinner communicate its state to the screen reader?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</si>
</sst>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333333"/>
      <name val="Arial"/>
      <charset val="1"/>
    </font>
    <font>
      <b/>
      <sz val="11"/>
      <color rgb="FFE2E2E2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  <font>
      <b/>
      <sz val="12"/>
      <color rgb="FFFFFFFF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5F7FA"/>
      </patternFill>
    </fill>
    <fill>
      <patternFill patternType="solid">
        <fgColor rgb="FFFF4C4C"/>
        <bgColor rgb="FFFF8080"/>
      </patternFill>
    </fill>
    <fill>
      <patternFill patternType="solid">
        <fgColor rgb="FFF5F7FA"/>
        <bgColor rgb="FFFEF9E7"/>
      </patternFill>
    </fill>
    <fill>
      <patternFill patternType="solid">
        <fgColor rgb="FFFF8C00"/>
        <bgColor rgb="FFFF8080"/>
      </patternFill>
    </fill>
    <fill>
      <patternFill patternType="solid">
        <fgColor rgb="FFFFD700"/>
        <bgColor rgb="FFFFFF00"/>
      </patternFill>
    </fill>
    <fill>
      <patternFill patternType="solid">
        <fgColor rgb="FF16213E"/>
        <bgColor rgb="FF1A1A2E"/>
      </patternFill>
    </fill>
    <fill>
      <patternFill patternType="solid">
        <fgColor rgb="FF90EE90"/>
        <bgColor rgb="FFCCCCCC"/>
      </patternFill>
    </fill>
    <fill>
      <patternFill patternType="solid">
        <fgColor rgb="FFD6EAF8"/>
        <bgColor rgb="FFD5F5E3"/>
      </patternFill>
    </fill>
    <fill>
      <patternFill patternType="solid">
        <fgColor rgb="FFD5F5E3"/>
        <bgColor rgb="FFD6EAF8"/>
      </patternFill>
    </fill>
    <fill>
      <patternFill patternType="solid">
        <fgColor rgb="FFFEF9E7"/>
        <bgColor rgb="FFF5F7FA"/>
      </patternFill>
    </fill>
    <fill>
      <patternFill patternType="solid">
        <fgColor rgb="FFF9EBEA"/>
        <bgColor rgb="FFF5F7FA"/>
      </patternFill>
    </fill>
    <fill>
      <patternFill patternType="solid">
        <fgColor theme="1" tint="0.249977111117893"/>
        <bgColor rgb="FF16213E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9" fillId="2" borderId="0" xfId="0" applyFont="1" applyFill="1" applyAlignment="1">
      <alignment horizontal="center" vertical="center"/>
    </xf>
    <xf numFmtId="0" fontId="6" fillId="8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5" fillId="7" borderId="1" xfId="0" applyFont="1" applyFill="1" applyBorder="1" applyAlignment="1">
      <alignment vertical="top" wrapText="1"/>
    </xf>
    <xf numFmtId="0" fontId="7" fillId="5" borderId="1" xfId="0" applyFont="1" applyFill="1" applyBorder="1"/>
    <xf numFmtId="0" fontId="3" fillId="3" borderId="1" xfId="0" applyFont="1" applyFill="1" applyBorder="1"/>
    <xf numFmtId="0" fontId="3" fillId="0" borderId="1" xfId="0" applyFont="1" applyBorder="1"/>
    <xf numFmtId="0" fontId="8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9" fontId="3" fillId="0" borderId="1" xfId="0" applyNumberFormat="1" applyFont="1" applyBorder="1"/>
    <xf numFmtId="0" fontId="4" fillId="6" borderId="1" xfId="0" applyFont="1" applyFill="1" applyBorder="1"/>
    <xf numFmtId="0" fontId="5" fillId="7" borderId="1" xfId="0" applyFont="1" applyFill="1" applyBorder="1"/>
    <xf numFmtId="0" fontId="5" fillId="9" borderId="1" xfId="0" applyFont="1" applyFill="1" applyBorder="1"/>
    <xf numFmtId="0" fontId="3" fillId="10" borderId="1" xfId="0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3" fillId="12" borderId="1" xfId="0" applyFont="1" applyFill="1" applyBorder="1" applyAlignment="1">
      <alignment vertical="top" wrapText="1"/>
    </xf>
    <xf numFmtId="0" fontId="3" fillId="13" borderId="1" xfId="0" applyFont="1" applyFill="1" applyBorder="1" applyAlignment="1">
      <alignment vertical="top" wrapText="1"/>
    </xf>
    <xf numFmtId="0" fontId="1" fillId="14" borderId="0" xfId="0" applyFont="1" applyFill="1" applyAlignment="1">
      <alignment horizontal="center" vertical="center"/>
    </xf>
    <xf numFmtId="0" fontId="2" fillId="14" borderId="1" xfId="0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left"/>
    </xf>
    <xf numFmtId="0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9E7"/>
      <rgbColor rgb="FFD6EAF8"/>
      <rgbColor rgb="FF660066"/>
      <rgbColor rgb="FFFF8080"/>
      <rgbColor rgb="FF0066CC"/>
      <rgbColor rgb="FFE2E2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A"/>
      <rgbColor rgb="FFD5F5E3"/>
      <rgbColor rgb="FFF9EBEA"/>
      <rgbColor rgb="FF90EE90"/>
      <rgbColor rgb="FFFF99CC"/>
      <rgbColor rgb="FFCC99FF"/>
      <rgbColor rgb="FFFFCC99"/>
      <rgbColor rgb="FF3366FF"/>
      <rgbColor rgb="FF33CCCC"/>
      <rgbColor rgb="FF99CC00"/>
      <rgbColor rgb="FFFFD700"/>
      <rgbColor rgb="FFFF8C00"/>
      <rgbColor rgb="FFFF4C4C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"/>
  <sheetViews>
    <sheetView zoomScale="140" zoomScaleNormal="140" workbookViewId="0">
      <pane ySplit="2" topLeftCell="A3" activePane="bottomLeft" state="frozen"/>
      <selection pane="bottomLeft" activeCell="L5" sqref="L5"/>
    </sheetView>
  </sheetViews>
  <sheetFormatPr baseColWidth="10" defaultColWidth="8.6640625" defaultRowHeight="15" x14ac:dyDescent="0.2"/>
  <cols>
    <col min="1" max="1" width="8" customWidth="1"/>
    <col min="2" max="2" width="22" customWidth="1"/>
    <col min="3" max="3" width="26" customWidth="1"/>
    <col min="4" max="4" width="16" customWidth="1"/>
    <col min="5" max="5" width="11.5" customWidth="1"/>
    <col min="6" max="6" width="12" customWidth="1"/>
    <col min="7" max="7" width="18" customWidth="1"/>
    <col min="8" max="8" width="40" customWidth="1"/>
    <col min="9" max="9" width="36" customWidth="1"/>
    <col min="10" max="10" width="40" customWidth="1"/>
    <col min="11" max="11" width="30" customWidth="1"/>
    <col min="12" max="12" width="14" customWidth="1"/>
    <col min="13" max="13" width="24" customWidth="1"/>
    <col min="14" max="14" width="16" customWidth="1"/>
  </cols>
  <sheetData>
    <row r="1" spans="1:14" ht="24" customHeight="1" x14ac:dyDescent="0.2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36" customHeight="1" x14ac:dyDescent="0.2">
      <c r="A2" s="25" t="s">
        <v>1</v>
      </c>
      <c r="B2" s="25" t="s">
        <v>2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5" t="s">
        <v>11</v>
      </c>
      <c r="L2" s="25" t="s">
        <v>12</v>
      </c>
      <c r="M2" s="25" t="s">
        <v>13</v>
      </c>
      <c r="N2" s="25" t="s">
        <v>14</v>
      </c>
    </row>
    <row r="3" spans="1:14" ht="48" customHeight="1" x14ac:dyDescent="0.2">
      <c r="A3" s="5" t="s">
        <v>15</v>
      </c>
      <c r="B3" s="5" t="s">
        <v>16</v>
      </c>
      <c r="C3" s="5" t="s">
        <v>17</v>
      </c>
      <c r="D3" s="5" t="s">
        <v>18</v>
      </c>
      <c r="E3" s="5" t="s">
        <v>19</v>
      </c>
      <c r="F3" s="6" t="s">
        <v>20</v>
      </c>
      <c r="G3" s="5" t="s">
        <v>21</v>
      </c>
      <c r="H3" s="5" t="s">
        <v>22</v>
      </c>
      <c r="I3" s="5" t="s">
        <v>23</v>
      </c>
      <c r="J3" s="5" t="s">
        <v>24</v>
      </c>
      <c r="K3" s="5" t="s">
        <v>25</v>
      </c>
      <c r="L3" s="5" t="s">
        <v>26</v>
      </c>
      <c r="M3" s="5"/>
      <c r="N3" s="5" t="s">
        <v>27</v>
      </c>
    </row>
    <row r="4" spans="1:14" ht="48" customHeight="1" x14ac:dyDescent="0.2">
      <c r="A4" s="7" t="s">
        <v>28</v>
      </c>
      <c r="B4" s="7" t="s">
        <v>29</v>
      </c>
      <c r="C4" s="7" t="s">
        <v>30</v>
      </c>
      <c r="D4" s="7" t="s">
        <v>18</v>
      </c>
      <c r="E4" s="7" t="s">
        <v>19</v>
      </c>
      <c r="F4" s="8" t="s">
        <v>31</v>
      </c>
      <c r="G4" s="7" t="s">
        <v>32</v>
      </c>
      <c r="H4" s="7" t="s">
        <v>33</v>
      </c>
      <c r="I4" s="7" t="s">
        <v>34</v>
      </c>
      <c r="J4" s="7" t="s">
        <v>35</v>
      </c>
      <c r="K4" s="7" t="s">
        <v>36</v>
      </c>
      <c r="L4" s="7" t="s">
        <v>26</v>
      </c>
      <c r="M4" s="7"/>
      <c r="N4" s="7" t="s">
        <v>37</v>
      </c>
    </row>
    <row r="5" spans="1:14" ht="48" customHeight="1" x14ac:dyDescent="0.2">
      <c r="A5" s="5" t="s">
        <v>38</v>
      </c>
      <c r="B5" s="5" t="s">
        <v>39</v>
      </c>
      <c r="C5" s="5" t="s">
        <v>40</v>
      </c>
      <c r="D5" s="5" t="s">
        <v>41</v>
      </c>
      <c r="E5" s="5" t="s">
        <v>19</v>
      </c>
      <c r="F5" s="9" t="s">
        <v>42</v>
      </c>
      <c r="G5" s="5" t="s">
        <v>43</v>
      </c>
      <c r="H5" s="5" t="s">
        <v>44</v>
      </c>
      <c r="I5" s="5" t="s">
        <v>45</v>
      </c>
      <c r="J5" s="5" t="s">
        <v>46</v>
      </c>
      <c r="K5" s="5"/>
      <c r="L5" s="5" t="s">
        <v>26</v>
      </c>
      <c r="M5" s="5"/>
      <c r="N5" s="5" t="s">
        <v>47</v>
      </c>
    </row>
  </sheetData>
  <mergeCells count="1">
    <mergeCell ref="A1:N1"/>
  </mergeCells>
  <dataValidations count="4">
    <dataValidation type="list" sqref="F3:F200" xr:uid="{00000000-0002-0000-0000-000000000000}">
      <formula1>"Critical,Serious,Moderate,Minor"</formula1>
      <formula2>0</formula2>
    </dataValidation>
    <dataValidation type="list" sqref="D3:D200" xr:uid="{00000000-0002-0000-0000-000001000000}">
      <formula1>"Perceivable,Operable,Understandable,Robust"</formula1>
      <formula2>0</formula2>
    </dataValidation>
    <dataValidation type="list" sqref="E3:E200" xr:uid="{00000000-0002-0000-0000-000002000000}">
      <formula1>"A,AA,AAA"</formula1>
      <formula2>0</formula2>
    </dataValidation>
    <dataValidation type="list" sqref="L3:L200" xr:uid="{00000000-0002-0000-0000-000003000000}">
      <formula1>"Open,In Progress,Fixed,Deferred,Won't Fix"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19"/>
  <sheetViews>
    <sheetView zoomScale="140" zoomScaleNormal="140" workbookViewId="0">
      <selection activeCell="A17" sqref="A17:A19"/>
    </sheetView>
  </sheetViews>
  <sheetFormatPr baseColWidth="10" defaultColWidth="8.6640625" defaultRowHeight="15" x14ac:dyDescent="0.2"/>
  <cols>
    <col min="1" max="1" width="32" customWidth="1"/>
    <col min="2" max="2" width="36" customWidth="1"/>
    <col min="3" max="3" width="40" customWidth="1"/>
  </cols>
  <sheetData>
    <row r="2" spans="1:3" ht="15" customHeight="1" x14ac:dyDescent="0.2">
      <c r="A2" s="2" t="s">
        <v>48</v>
      </c>
      <c r="B2" s="2"/>
      <c r="C2" s="2"/>
    </row>
    <row r="3" spans="1:3" x14ac:dyDescent="0.2">
      <c r="A3" s="10" t="s">
        <v>49</v>
      </c>
      <c r="B3" s="11"/>
    </row>
    <row r="4" spans="1:3" x14ac:dyDescent="0.2">
      <c r="A4" s="10" t="s">
        <v>50</v>
      </c>
      <c r="B4" s="11"/>
    </row>
    <row r="5" spans="1:3" x14ac:dyDescent="0.2">
      <c r="A5" s="10" t="s">
        <v>51</v>
      </c>
      <c r="B5" s="11"/>
    </row>
    <row r="6" spans="1:3" x14ac:dyDescent="0.2">
      <c r="A6" s="10" t="s">
        <v>52</v>
      </c>
      <c r="B6" s="11" t="s">
        <v>53</v>
      </c>
    </row>
    <row r="7" spans="1:3" x14ac:dyDescent="0.2">
      <c r="A7" s="10" t="s">
        <v>54</v>
      </c>
      <c r="B7" s="26">
        <v>2.1</v>
      </c>
    </row>
    <row r="8" spans="1:3" x14ac:dyDescent="0.2">
      <c r="A8" s="10" t="s">
        <v>55</v>
      </c>
      <c r="B8" s="11" t="s">
        <v>56</v>
      </c>
    </row>
    <row r="9" spans="1:3" x14ac:dyDescent="0.2">
      <c r="A9" s="10" t="s">
        <v>57</v>
      </c>
      <c r="B9" s="11" t="s">
        <v>58</v>
      </c>
    </row>
    <row r="10" spans="1:3" x14ac:dyDescent="0.2">
      <c r="A10" s="10" t="s">
        <v>59</v>
      </c>
      <c r="B10" s="11" t="s">
        <v>60</v>
      </c>
    </row>
    <row r="11" spans="1:3" x14ac:dyDescent="0.2">
      <c r="A11" s="10" t="s">
        <v>61</v>
      </c>
      <c r="B11" s="11"/>
    </row>
    <row r="12" spans="1:3" x14ac:dyDescent="0.2">
      <c r="A12" s="10" t="s">
        <v>62</v>
      </c>
      <c r="B12" s="11"/>
    </row>
    <row r="13" spans="1:3" x14ac:dyDescent="0.2">
      <c r="A13" s="10"/>
      <c r="B13" s="11"/>
    </row>
    <row r="14" spans="1:3" ht="15" customHeight="1" x14ac:dyDescent="0.2">
      <c r="A14" s="2" t="s">
        <v>63</v>
      </c>
      <c r="B14" s="2"/>
      <c r="C14" s="2"/>
    </row>
    <row r="16" spans="1:3" x14ac:dyDescent="0.2">
      <c r="A16" s="4" t="s">
        <v>64</v>
      </c>
      <c r="B16" s="4" t="s">
        <v>65</v>
      </c>
      <c r="C16" s="4" t="s">
        <v>66</v>
      </c>
    </row>
    <row r="17" spans="1:3" x14ac:dyDescent="0.2">
      <c r="A17" s="27">
        <v>1</v>
      </c>
      <c r="B17" s="12" t="s">
        <v>16</v>
      </c>
      <c r="C17" s="12"/>
    </row>
    <row r="18" spans="1:3" x14ac:dyDescent="0.2">
      <c r="A18" s="27">
        <v>2</v>
      </c>
      <c r="B18" s="12" t="s">
        <v>29</v>
      </c>
      <c r="C18" s="12"/>
    </row>
    <row r="19" spans="1:3" x14ac:dyDescent="0.2">
      <c r="A19" s="27">
        <v>3</v>
      </c>
      <c r="B19" s="12" t="s">
        <v>39</v>
      </c>
      <c r="C19" s="12"/>
    </row>
  </sheetData>
  <mergeCells count="2">
    <mergeCell ref="A2:C2"/>
    <mergeCell ref="A14:C1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zoomScale="140" zoomScaleNormal="140" workbookViewId="0">
      <selection sqref="A1:D1"/>
    </sheetView>
  </sheetViews>
  <sheetFormatPr baseColWidth="10" defaultColWidth="8.6640625" defaultRowHeight="15" x14ac:dyDescent="0.2"/>
  <cols>
    <col min="1" max="1" width="16" customWidth="1"/>
    <col min="2" max="2" width="10" customWidth="1"/>
    <col min="3" max="3" width="12" customWidth="1"/>
    <col min="4" max="4" width="4" customWidth="1"/>
    <col min="5" max="5" width="16" customWidth="1"/>
    <col min="6" max="6" width="10" customWidth="1"/>
  </cols>
  <sheetData>
    <row r="1" spans="1:6" ht="27.75" customHeight="1" x14ac:dyDescent="0.2">
      <c r="A1" s="3" t="s">
        <v>67</v>
      </c>
      <c r="B1" s="3"/>
      <c r="C1" s="3"/>
      <c r="D1" s="3"/>
    </row>
    <row r="3" spans="1:6" x14ac:dyDescent="0.2">
      <c r="A3" s="13" t="s">
        <v>6</v>
      </c>
      <c r="E3" s="13" t="s">
        <v>12</v>
      </c>
    </row>
    <row r="4" spans="1:6" x14ac:dyDescent="0.2">
      <c r="A4" s="14" t="s">
        <v>6</v>
      </c>
      <c r="B4" s="14" t="s">
        <v>68</v>
      </c>
      <c r="C4" s="14" t="s">
        <v>69</v>
      </c>
      <c r="E4" s="14" t="s">
        <v>12</v>
      </c>
      <c r="F4" s="14" t="s">
        <v>68</v>
      </c>
    </row>
    <row r="5" spans="1:6" x14ac:dyDescent="0.2">
      <c r="A5" s="15" t="s">
        <v>20</v>
      </c>
      <c r="B5" s="12">
        <f>COUNTIF('Audit Log'!F:F,"Critical")</f>
        <v>1</v>
      </c>
      <c r="C5" s="16">
        <f>IF(B9&gt;0,B5/B9,0)</f>
        <v>0.33333333333333331</v>
      </c>
      <c r="E5" s="12" t="s">
        <v>26</v>
      </c>
      <c r="F5" s="12">
        <f>COUNTIF('Audit Log'!L:L,"Open")</f>
        <v>3</v>
      </c>
    </row>
    <row r="6" spans="1:6" x14ac:dyDescent="0.2">
      <c r="A6" s="17" t="s">
        <v>31</v>
      </c>
      <c r="B6" s="12">
        <f>COUNTIF('Audit Log'!F:F,"Serious")</f>
        <v>1</v>
      </c>
      <c r="C6" s="16">
        <f>IF(B9&gt;0,B6/B9,0)</f>
        <v>0.33333333333333331</v>
      </c>
      <c r="E6" s="12" t="s">
        <v>70</v>
      </c>
      <c r="F6" s="12">
        <f>COUNTIF('Audit Log'!L:L,"In Progress")</f>
        <v>0</v>
      </c>
    </row>
    <row r="7" spans="1:6" x14ac:dyDescent="0.2">
      <c r="A7" s="18" t="s">
        <v>42</v>
      </c>
      <c r="B7" s="12">
        <f>COUNTIF('Audit Log'!F:F,"Moderate")</f>
        <v>1</v>
      </c>
      <c r="C7" s="16">
        <f>IF(B9&gt;0,B7/B9,0)</f>
        <v>0.33333333333333331</v>
      </c>
      <c r="E7" s="12" t="s">
        <v>71</v>
      </c>
      <c r="F7" s="12">
        <f>COUNTIF('Audit Log'!L:L,"Fixed")</f>
        <v>0</v>
      </c>
    </row>
    <row r="8" spans="1:6" x14ac:dyDescent="0.2">
      <c r="A8" s="19" t="s">
        <v>72</v>
      </c>
      <c r="B8" s="12">
        <f>COUNTIF('Audit Log'!F:F,"Minor")</f>
        <v>0</v>
      </c>
      <c r="C8" s="16">
        <f>IF(B9&gt;0,B8/B9,0)</f>
        <v>0</v>
      </c>
      <c r="E8" s="12" t="s">
        <v>73</v>
      </c>
      <c r="F8" s="12">
        <f>COUNTIF('Audit Log'!L:L,"Deferred")</f>
        <v>0</v>
      </c>
    </row>
    <row r="9" spans="1:6" x14ac:dyDescent="0.2">
      <c r="A9" s="10" t="s">
        <v>74</v>
      </c>
      <c r="B9" s="10">
        <f>SUM(B5:B8)</f>
        <v>3</v>
      </c>
      <c r="E9" s="12" t="s">
        <v>75</v>
      </c>
      <c r="F9" s="12">
        <f>COUNTIF('Audit Log'!L:L,"Won't Fix")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8"/>
  <sheetViews>
    <sheetView tabSelected="1" topLeftCell="A6" zoomScale="140" zoomScaleNormal="140" workbookViewId="0">
      <selection activeCell="E11" sqref="E11"/>
    </sheetView>
  </sheetViews>
  <sheetFormatPr baseColWidth="10" defaultColWidth="8.6640625" defaultRowHeight="15" x14ac:dyDescent="0.2"/>
  <cols>
    <col min="1" max="1" width="10" customWidth="1"/>
    <col min="2" max="2" width="26" customWidth="1"/>
    <col min="3" max="3" width="8" customWidth="1"/>
    <col min="4" max="4" width="16" customWidth="1"/>
    <col min="5" max="5" width="60" customWidth="1"/>
    <col min="6" max="6" width="64.1640625" customWidth="1"/>
  </cols>
  <sheetData>
    <row r="1" spans="1:6" ht="24" customHeight="1" x14ac:dyDescent="0.2">
      <c r="A1" s="1" t="s">
        <v>76</v>
      </c>
      <c r="B1" s="1"/>
      <c r="C1" s="1"/>
      <c r="D1" s="1"/>
      <c r="E1" s="1"/>
      <c r="F1" s="1"/>
    </row>
    <row r="2" spans="1:6" x14ac:dyDescent="0.2">
      <c r="A2" s="14" t="s">
        <v>77</v>
      </c>
      <c r="B2" s="14" t="s">
        <v>78</v>
      </c>
      <c r="C2" s="14" t="s">
        <v>79</v>
      </c>
      <c r="D2" s="14" t="s">
        <v>80</v>
      </c>
      <c r="E2" s="14" t="s">
        <v>81</v>
      </c>
      <c r="F2" s="14" t="s">
        <v>132</v>
      </c>
    </row>
    <row r="3" spans="1:6" ht="36" customHeight="1" x14ac:dyDescent="0.2">
      <c r="A3" s="20" t="s">
        <v>82</v>
      </c>
      <c r="B3" s="20" t="s">
        <v>83</v>
      </c>
      <c r="C3" s="20" t="s">
        <v>19</v>
      </c>
      <c r="D3" s="20" t="s">
        <v>18</v>
      </c>
      <c r="E3" s="20" t="s">
        <v>84</v>
      </c>
      <c r="F3" s="20" t="s">
        <v>133</v>
      </c>
    </row>
    <row r="4" spans="1:6" ht="36" customHeight="1" x14ac:dyDescent="0.2">
      <c r="A4" s="20" t="s">
        <v>85</v>
      </c>
      <c r="B4" s="20" t="s">
        <v>86</v>
      </c>
      <c r="C4" s="20" t="s">
        <v>19</v>
      </c>
      <c r="D4" s="20" t="s">
        <v>18</v>
      </c>
      <c r="E4" s="20" t="s">
        <v>87</v>
      </c>
      <c r="F4" s="20" t="s">
        <v>134</v>
      </c>
    </row>
    <row r="5" spans="1:6" ht="36" customHeight="1" x14ac:dyDescent="0.2">
      <c r="A5" s="20" t="s">
        <v>88</v>
      </c>
      <c r="B5" s="20" t="s">
        <v>89</v>
      </c>
      <c r="C5" s="20" t="s">
        <v>19</v>
      </c>
      <c r="D5" s="20" t="s">
        <v>18</v>
      </c>
      <c r="E5" s="20" t="s">
        <v>90</v>
      </c>
      <c r="F5" s="20" t="s">
        <v>135</v>
      </c>
    </row>
    <row r="6" spans="1:6" ht="36" customHeight="1" x14ac:dyDescent="0.2">
      <c r="A6" s="20" t="s">
        <v>91</v>
      </c>
      <c r="B6" s="20" t="s">
        <v>92</v>
      </c>
      <c r="C6" s="20" t="s">
        <v>56</v>
      </c>
      <c r="D6" s="20" t="s">
        <v>18</v>
      </c>
      <c r="E6" s="20" t="s">
        <v>93</v>
      </c>
      <c r="F6" s="20" t="s">
        <v>136</v>
      </c>
    </row>
    <row r="7" spans="1:6" ht="36" customHeight="1" x14ac:dyDescent="0.2">
      <c r="A7" s="20" t="s">
        <v>94</v>
      </c>
      <c r="B7" s="20" t="s">
        <v>95</v>
      </c>
      <c r="C7" s="20" t="s">
        <v>56</v>
      </c>
      <c r="D7" s="20" t="s">
        <v>18</v>
      </c>
      <c r="E7" s="20" t="s">
        <v>96</v>
      </c>
      <c r="F7" s="20" t="s">
        <v>137</v>
      </c>
    </row>
    <row r="8" spans="1:6" ht="36" customHeight="1" x14ac:dyDescent="0.2">
      <c r="A8" s="21" t="s">
        <v>97</v>
      </c>
      <c r="B8" s="21" t="s">
        <v>98</v>
      </c>
      <c r="C8" s="21" t="s">
        <v>19</v>
      </c>
      <c r="D8" s="21" t="s">
        <v>41</v>
      </c>
      <c r="E8" s="21" t="s">
        <v>99</v>
      </c>
      <c r="F8" s="21" t="s">
        <v>138</v>
      </c>
    </row>
    <row r="9" spans="1:6" ht="36" customHeight="1" x14ac:dyDescent="0.2">
      <c r="A9" s="21" t="s">
        <v>100</v>
      </c>
      <c r="B9" s="21" t="s">
        <v>101</v>
      </c>
      <c r="C9" s="21" t="s">
        <v>19</v>
      </c>
      <c r="D9" s="21" t="s">
        <v>41</v>
      </c>
      <c r="E9" s="21" t="s">
        <v>102</v>
      </c>
      <c r="F9" s="21" t="s">
        <v>139</v>
      </c>
    </row>
    <row r="10" spans="1:6" ht="36" customHeight="1" x14ac:dyDescent="0.2">
      <c r="A10" s="21" t="s">
        <v>103</v>
      </c>
      <c r="B10" s="21" t="s">
        <v>104</v>
      </c>
      <c r="C10" s="21" t="s">
        <v>19</v>
      </c>
      <c r="D10" s="21" t="s">
        <v>41</v>
      </c>
      <c r="E10" s="21" t="s">
        <v>105</v>
      </c>
      <c r="F10" s="21" t="s">
        <v>140</v>
      </c>
    </row>
    <row r="11" spans="1:6" ht="36" customHeight="1" x14ac:dyDescent="0.2">
      <c r="A11" s="21" t="s">
        <v>106</v>
      </c>
      <c r="B11" s="21" t="s">
        <v>107</v>
      </c>
      <c r="C11" s="21" t="s">
        <v>19</v>
      </c>
      <c r="D11" s="21" t="s">
        <v>41</v>
      </c>
      <c r="E11" s="21" t="s">
        <v>108</v>
      </c>
      <c r="F11" s="21" t="s">
        <v>141</v>
      </c>
    </row>
    <row r="12" spans="1:6" ht="36" customHeight="1" x14ac:dyDescent="0.2">
      <c r="A12" s="21" t="s">
        <v>109</v>
      </c>
      <c r="B12" s="21" t="s">
        <v>110</v>
      </c>
      <c r="C12" s="21" t="s">
        <v>56</v>
      </c>
      <c r="D12" s="21" t="s">
        <v>41</v>
      </c>
      <c r="E12" s="21" t="s">
        <v>111</v>
      </c>
      <c r="F12" s="21" t="s">
        <v>142</v>
      </c>
    </row>
    <row r="13" spans="1:6" ht="36" customHeight="1" x14ac:dyDescent="0.2">
      <c r="A13" s="22" t="s">
        <v>112</v>
      </c>
      <c r="B13" s="22" t="s">
        <v>113</v>
      </c>
      <c r="C13" s="22" t="s">
        <v>19</v>
      </c>
      <c r="D13" s="22" t="s">
        <v>114</v>
      </c>
      <c r="E13" s="22" t="s">
        <v>115</v>
      </c>
      <c r="F13" s="22" t="s">
        <v>143</v>
      </c>
    </row>
    <row r="14" spans="1:6" ht="36" customHeight="1" x14ac:dyDescent="0.2">
      <c r="A14" s="22" t="s">
        <v>116</v>
      </c>
      <c r="B14" s="22" t="s">
        <v>117</v>
      </c>
      <c r="C14" s="22" t="s">
        <v>19</v>
      </c>
      <c r="D14" s="22" t="s">
        <v>114</v>
      </c>
      <c r="E14" s="22" t="s">
        <v>118</v>
      </c>
      <c r="F14" s="22" t="s">
        <v>144</v>
      </c>
    </row>
    <row r="15" spans="1:6" ht="36" customHeight="1" x14ac:dyDescent="0.2">
      <c r="A15" s="22" t="s">
        <v>119</v>
      </c>
      <c r="B15" s="22" t="s">
        <v>120</v>
      </c>
      <c r="C15" s="22" t="s">
        <v>19</v>
      </c>
      <c r="D15" s="22" t="s">
        <v>114</v>
      </c>
      <c r="E15" s="22" t="s">
        <v>121</v>
      </c>
      <c r="F15" s="22" t="s">
        <v>145</v>
      </c>
    </row>
    <row r="16" spans="1:6" ht="36" customHeight="1" x14ac:dyDescent="0.2">
      <c r="A16" s="22" t="s">
        <v>122</v>
      </c>
      <c r="B16" s="22" t="s">
        <v>123</v>
      </c>
      <c r="C16" s="22" t="s">
        <v>56</v>
      </c>
      <c r="D16" s="22" t="s">
        <v>114</v>
      </c>
      <c r="E16" s="22" t="s">
        <v>124</v>
      </c>
      <c r="F16" s="22" t="s">
        <v>146</v>
      </c>
    </row>
    <row r="17" spans="1:6" ht="36" customHeight="1" x14ac:dyDescent="0.2">
      <c r="A17" s="23" t="s">
        <v>125</v>
      </c>
      <c r="B17" s="23" t="s">
        <v>126</v>
      </c>
      <c r="C17" s="23" t="s">
        <v>19</v>
      </c>
      <c r="D17" s="23" t="s">
        <v>127</v>
      </c>
      <c r="E17" s="23" t="s">
        <v>128</v>
      </c>
      <c r="F17" s="23" t="s">
        <v>147</v>
      </c>
    </row>
    <row r="18" spans="1:6" ht="36" customHeight="1" x14ac:dyDescent="0.2">
      <c r="A18" s="23" t="s">
        <v>129</v>
      </c>
      <c r="B18" s="23" t="s">
        <v>130</v>
      </c>
      <c r="C18" s="23" t="s">
        <v>56</v>
      </c>
      <c r="D18" s="23" t="s">
        <v>127</v>
      </c>
      <c r="E18" s="23" t="s">
        <v>131</v>
      </c>
      <c r="F18" s="23" t="s">
        <v>148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Audit Log</vt:lpstr>
      <vt:lpstr>Audit Scope</vt:lpstr>
      <vt:lpstr>Summary</vt:lpstr>
      <vt:lpstr>WCAG Quick 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Victor Hugo Vigueras Diaz - Alumno</cp:lastModifiedBy>
  <cp:revision>0</cp:revision>
  <dcterms:created xsi:type="dcterms:W3CDTF">2026-04-02T21:09:54Z</dcterms:created>
  <dcterms:modified xsi:type="dcterms:W3CDTF">2026-04-03T19:45:24Z</dcterms:modified>
  <dc:language>en-US</dc:language>
</cp:coreProperties>
</file>