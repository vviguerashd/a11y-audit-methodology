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00" yWindow="0" windowWidth="38400" windowHeight="21600" tabRatio="500" firstSheet="0" activeTab="3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Audit Scop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CAG Quick Ref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10"/>
    </font>
    <font>
      <name val="Arial"/>
      <charset val="1"/>
      <b val="1"/>
      <color rgb="FFE2E2E2"/>
      <sz val="11"/>
    </font>
    <font>
      <name val="Arial"/>
      <charset val="1"/>
      <b val="1"/>
      <sz val="10"/>
    </font>
    <font>
      <name val="Arial"/>
      <charset val="1"/>
      <b val="1"/>
      <sz val="11"/>
    </font>
    <font>
      <name val="Arial"/>
      <charset val="1"/>
      <b val="1"/>
      <color rgb="FFFFFFFF"/>
      <sz val="12"/>
    </font>
  </fonts>
  <fills count="15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5F7FA"/>
      </patternFill>
    </fill>
    <fill>
      <patternFill patternType="solid">
        <fgColor rgb="FFFF4C4C"/>
        <bgColor rgb="FFFF8080"/>
      </patternFill>
    </fill>
    <fill>
      <patternFill patternType="solid">
        <fgColor rgb="FFF5F7FA"/>
        <bgColor rgb="FFFEF9E7"/>
      </patternFill>
    </fill>
    <fill>
      <patternFill patternType="solid">
        <fgColor rgb="FFFF8C00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16213E"/>
        <bgColor rgb="FF1A1A2E"/>
      </patternFill>
    </fill>
    <fill>
      <patternFill patternType="solid">
        <fgColor rgb="FF90EE90"/>
        <bgColor rgb="FFCCCCC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5F7FA"/>
      </patternFill>
    </fill>
    <fill>
      <patternFill patternType="solid">
        <fgColor rgb="FFF9EBEA"/>
        <bgColor rgb="FFF5F7FA"/>
      </patternFill>
    </fill>
    <fill>
      <patternFill patternType="solid">
        <fgColor theme="1" tint="0.249977111117893"/>
        <bgColor rgb="FF16213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5" borderId="1" pivotButton="0" quotePrefix="0" xfId="0"/>
    <xf numFmtId="0" fontId="3" fillId="3" borderId="1" pivotButton="0" quotePrefix="0" xfId="0"/>
    <xf numFmtId="0" fontId="3" fillId="0" borderId="1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9" fontId="3" fillId="0" borderId="1" pivotButton="0" quotePrefix="0" xfId="0"/>
    <xf numFmtId="0" fontId="4" fillId="6" borderId="1" pivotButton="0" quotePrefix="0" xfId="0"/>
    <xf numFmtId="0" fontId="5" fillId="7" borderId="1" pivotButton="0" quotePrefix="0" xfId="0"/>
    <xf numFmtId="0" fontId="5" fillId="9" borderId="1" pivotButton="0" quotePrefix="0" xfId="0"/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5F5E3"/>
      <rgbColor rgb="FFF9EBEA"/>
      <rgbColor rgb="FF90EE90"/>
      <rgbColor rgb="FFFF99CC"/>
      <rgbColor rgb="FFCC99FF"/>
      <rgbColor rgb="FFFFCC99"/>
      <rgbColor rgb="FF3366FF"/>
      <rgbColor rgb="FF33CCCC"/>
      <rgbColor rgb="FF99CC00"/>
      <rgbColor rgb="FFFFD700"/>
      <rgbColor rgb="FFFF8C00"/>
      <rgbColor rgb="FFFF4C4C"/>
      <rgbColor rgb="FF666699"/>
      <rgbColor rgb="FF969696"/>
      <rgbColor rgb="FF16213E"/>
      <rgbColor rgb="FF339966"/>
      <rgbColor rgb="FF003300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zoomScale="140" zoomScaleNormal="140" workbookViewId="0">
      <pane ySplit="2" topLeftCell="A3" activePane="bottomLeft" state="frozen"/>
      <selection pane="bottomLeft" activeCell="L5" sqref="L5"/>
    </sheetView>
  </sheetViews>
  <sheetFormatPr baseColWidth="10" defaultColWidth="8.6640625" defaultRowHeight="15"/>
  <cols>
    <col width="8" customWidth="1" min="1" max="1"/>
    <col width="22" customWidth="1" min="2" max="2"/>
    <col width="26" customWidth="1" min="3" max="3"/>
    <col width="16" customWidth="1" min="4" max="4"/>
    <col width="11.5" customWidth="1" min="5" max="5"/>
    <col width="12" customWidth="1" min="6" max="6"/>
    <col width="18" customWidth="1" min="7" max="7"/>
    <col width="40" customWidth="1" min="8" max="8"/>
    <col width="36" customWidth="1" min="9" max="9"/>
    <col width="40" customWidth="1" min="10" max="10"/>
    <col width="30" customWidth="1" min="11" max="11"/>
    <col width="14" customWidth="1" min="12" max="12"/>
    <col width="24" customWidth="1" min="13" max="13"/>
    <col width="16" customWidth="1" min="14" max="14"/>
  </cols>
  <sheetData>
    <row r="1" ht="24" customHeight="1">
      <c r="A1" s="24" t="inlineStr">
        <is>
          <t>Accessibility Audit — Finding Log</t>
        </is>
      </c>
    </row>
    <row r="2" ht="36" customHeight="1">
      <c r="A2" s="25" t="inlineStr">
        <is>
          <t>ID</t>
        </is>
      </c>
      <c r="B2" s="25" t="inlineStr">
        <is>
          <t>Page / Component</t>
        </is>
      </c>
      <c r="C2" s="25" t="inlineStr">
        <is>
          <t>WCAG Criterion</t>
        </is>
      </c>
      <c r="D2" s="25" t="inlineStr">
        <is>
          <t>Principle
(POUR)</t>
        </is>
      </c>
      <c r="E2" s="25" t="inlineStr">
        <is>
          <t>Level
(A/AA/AAA)</t>
        </is>
      </c>
      <c r="F2" s="25" t="inlineStr">
        <is>
          <t>Severity</t>
        </is>
      </c>
      <c r="G2" s="25" t="inlineStr">
        <is>
          <t>Tool Used</t>
        </is>
      </c>
      <c r="H2" s="25" t="inlineStr">
        <is>
          <t>Issue Description</t>
        </is>
      </c>
      <c r="I2" s="25" t="inlineStr">
        <is>
          <t>Impact on User</t>
        </is>
      </c>
      <c r="J2" s="25" t="inlineStr">
        <is>
          <t>Recommendation</t>
        </is>
      </c>
      <c r="K2" s="25" t="inlineStr">
        <is>
          <t>Code Snippet
(optional)</t>
        </is>
      </c>
      <c r="L2" s="25" t="inlineStr">
        <is>
          <t>Status</t>
        </is>
      </c>
      <c r="M2" s="25" t="inlineStr">
        <is>
          <t>Notes</t>
        </is>
      </c>
      <c r="N2" s="25" t="inlineStr">
        <is>
          <t>Screenshot Ref</t>
        </is>
      </c>
    </row>
    <row r="3" ht="48" customHeight="1">
      <c r="A3" s="5" t="inlineStr">
        <is>
          <t>F-001</t>
        </is>
      </c>
      <c r="B3" s="5" t="inlineStr">
        <is>
          <t>Homepage</t>
        </is>
      </c>
      <c r="C3" s="5" t="inlineStr">
        <is>
          <t>1.1.1 Non-text Content</t>
        </is>
      </c>
      <c r="D3" s="5" t="inlineStr">
        <is>
          <t>Perceivable</t>
        </is>
      </c>
      <c r="E3" s="5" t="inlineStr">
        <is>
          <t>A</t>
        </is>
      </c>
      <c r="F3" s="6" t="inlineStr">
        <is>
          <t>Critical</t>
        </is>
      </c>
      <c r="G3" s="5" t="inlineStr">
        <is>
          <t>WAVE / axe</t>
        </is>
      </c>
      <c r="H3" s="5" t="inlineStr">
        <is>
          <t>Hero image has no alt attribute.</t>
        </is>
      </c>
      <c r="I3" s="5" t="inlineStr">
        <is>
          <t>Screen reader users receive no information about the image.</t>
        </is>
      </c>
      <c r="J3" s="5" t="inlineStr">
        <is>
          <t>Add descriptive alt text: alt="[description]".</t>
        </is>
      </c>
      <c r="K3" s="5" t="inlineStr">
        <is>
          <t>&lt;img src="hero.jpg"&gt;</t>
        </is>
      </c>
      <c r="L3" s="5" t="inlineStr">
        <is>
          <t>Open</t>
        </is>
      </c>
      <c r="M3" s="5" t="n"/>
      <c r="N3" s="5" t="inlineStr">
        <is>
          <t>SS-001</t>
        </is>
      </c>
    </row>
    <row r="4" ht="48" customHeight="1">
      <c r="A4" s="7" t="inlineStr">
        <is>
          <t>F-002</t>
        </is>
      </c>
      <c r="B4" s="7" t="inlineStr">
        <is>
          <t>Contact Form</t>
        </is>
      </c>
      <c r="C4" s="7" t="inlineStr">
        <is>
          <t>1.3.1 Info and Relationships</t>
        </is>
      </c>
      <c r="D4" s="7" t="inlineStr">
        <is>
          <t>Perceivable</t>
        </is>
      </c>
      <c r="E4" s="7" t="inlineStr">
        <is>
          <t>A</t>
        </is>
      </c>
      <c r="F4" s="8" t="inlineStr">
        <is>
          <t>Serious</t>
        </is>
      </c>
      <c r="G4" s="7" t="inlineStr">
        <is>
          <t>axe DevTools</t>
        </is>
      </c>
      <c r="H4" s="7" t="inlineStr">
        <is>
          <t>Form inputs lack associated &lt;label&gt; elements.</t>
        </is>
      </c>
      <c r="I4" s="7" t="inlineStr">
        <is>
          <t>Users of assistive technology cannot identify field purpose.</t>
        </is>
      </c>
      <c r="J4" s="7" t="inlineStr">
        <is>
          <t>Associate each input with a visible &lt;label for='id'&gt; or aria-label.</t>
        </is>
      </c>
      <c r="K4" s="7" t="inlineStr">
        <is>
          <t>&lt;input type="text" id="name"&gt;</t>
        </is>
      </c>
      <c r="L4" s="7" t="inlineStr">
        <is>
          <t>Open</t>
        </is>
      </c>
      <c r="M4" s="7" t="n"/>
      <c r="N4" s="7" t="inlineStr">
        <is>
          <t>SS-002</t>
        </is>
      </c>
    </row>
    <row r="5" ht="48" customHeight="1">
      <c r="A5" s="5" t="inlineStr">
        <is>
          <t>F-003</t>
        </is>
      </c>
      <c r="B5" s="5" t="inlineStr">
        <is>
          <t>Navigation</t>
        </is>
      </c>
      <c r="C5" s="5" t="inlineStr">
        <is>
          <t>2.1.1 Keyboard</t>
        </is>
      </c>
      <c r="D5" s="5" t="inlineStr">
        <is>
          <t>Operable</t>
        </is>
      </c>
      <c r="E5" s="5" t="inlineStr">
        <is>
          <t>A</t>
        </is>
      </c>
      <c r="F5" s="9" t="inlineStr">
        <is>
          <t>Critical</t>
        </is>
      </c>
      <c r="G5" s="5" t="inlineStr">
        <is>
          <t>Keyboard test</t>
        </is>
      </c>
      <c r="H5" s="5" t="inlineStr">
        <is>
          <t>Tab order skips the main navigation menu.</t>
        </is>
      </c>
      <c r="I5" s="5" t="inlineStr">
        <is>
          <t>Keyboard users cannot access navigation without a mouse.</t>
        </is>
      </c>
      <c r="J5" s="5" t="inlineStr">
        <is>
          <t>Remove tabindex="-1" from the navigation links so they are reachable with the keyboard.</t>
        </is>
      </c>
      <c r="K5" s="5" t="n"/>
      <c r="L5" s="5" t="inlineStr">
        <is>
          <t>Open</t>
        </is>
      </c>
      <c r="M5" s="5" t="n"/>
      <c r="N5" s="5" t="inlineStr">
        <is>
          <t>SS-003</t>
        </is>
      </c>
    </row>
  </sheetData>
  <mergeCells count="1">
    <mergeCell ref="A1:N1"/>
  </mergeCells>
  <dataValidations count="4">
    <dataValidation sqref="F3:F200" showDropDown="0" showInputMessage="0" showErrorMessage="0" allowBlank="0" type="list">
      <formula1>"Critical,Serious,Moderate,Minor"</formula1>
      <formula2>0</formula2>
    </dataValidation>
    <dataValidation sqref="D3:D200" showDropDown="0" showInputMessage="0" showErrorMessage="0" allowBlank="0" type="list">
      <formula1>"Perceivable,Operable,Understandable,Robust"</formula1>
      <formula2>0</formula2>
    </dataValidation>
    <dataValidation sqref="E3:E200" showDropDown="0" showInputMessage="0" showErrorMessage="0" allowBlank="0" type="list">
      <formula1>"A,AA,AAA"</formula1>
      <formula2>0</formula2>
    </dataValidation>
    <dataValidation sqref="L3:L200" showDropDown="0" showInputMessage="0" showErrorMessage="0" allowBlank="0" type="list">
      <formula1>"Open,In Progress,Fixed,Deferred,Won't Fix"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9"/>
  <sheetViews>
    <sheetView zoomScale="140" zoomScaleNormal="140" workbookViewId="0">
      <selection activeCell="A17" sqref="A17:A19"/>
    </sheetView>
  </sheetViews>
  <sheetFormatPr baseColWidth="10" defaultColWidth="8.6640625" defaultRowHeight="15"/>
  <cols>
    <col width="32" customWidth="1" min="1" max="1"/>
    <col width="36" customWidth="1" min="2" max="2"/>
    <col width="40" customWidth="1" min="3" max="3"/>
  </cols>
  <sheetData>
    <row r="2" ht="15" customHeight="1">
      <c r="A2" s="2" t="inlineStr">
        <is>
          <t>AUDIT METADATA</t>
        </is>
      </c>
      <c r="B2" s="28" t="n"/>
      <c r="C2" s="28" t="n"/>
    </row>
    <row r="3">
      <c r="A3" s="10" t="inlineStr">
        <is>
          <t>Site / Product Name</t>
        </is>
      </c>
      <c r="B3" s="11" t="n"/>
    </row>
    <row r="4">
      <c r="A4" s="10" t="inlineStr">
        <is>
          <t>URL Audited</t>
        </is>
      </c>
      <c r="B4" s="11" t="n"/>
    </row>
    <row r="5">
      <c r="A5" s="10" t="inlineStr">
        <is>
          <t>Audit Date</t>
        </is>
      </c>
      <c r="B5" s="11" t="n"/>
    </row>
    <row r="6">
      <c r="A6" s="10" t="inlineStr">
        <is>
          <t>Auditor Name</t>
        </is>
      </c>
      <c r="B6" s="11" t="inlineStr">
        <is>
          <t>Victor Vigueras</t>
        </is>
      </c>
    </row>
    <row r="7">
      <c r="A7" s="10" t="inlineStr">
        <is>
          <t>WCAG Version</t>
        </is>
      </c>
      <c r="B7" s="26" t="n">
        <v>2.1</v>
      </c>
    </row>
    <row r="8">
      <c r="A8" s="10" t="inlineStr">
        <is>
          <t>Conformance Level</t>
        </is>
      </c>
      <c r="B8" s="11" t="inlineStr">
        <is>
          <t>AA</t>
        </is>
      </c>
    </row>
    <row r="9">
      <c r="A9" s="10" t="inlineStr">
        <is>
          <t>Standards Applied</t>
        </is>
      </c>
      <c r="B9" s="11" t="inlineStr">
        <is>
          <t>WCAG 2.1 AA / Section 508 / EN 301 549</t>
        </is>
      </c>
    </row>
    <row r="10">
      <c r="A10" s="10" t="inlineStr">
        <is>
          <t>Tools Used</t>
        </is>
      </c>
      <c r="B10" s="11" t="inlineStr">
        <is>
          <t>WAVE, axe DevTools, Chrome DevTools A11y Panel, Keyboard</t>
        </is>
      </c>
    </row>
    <row r="11">
      <c r="A11" s="10" t="inlineStr">
        <is>
          <t>Browsers Tested</t>
        </is>
      </c>
      <c r="B11" s="11" t="n"/>
    </row>
    <row r="12">
      <c r="A12" s="10" t="inlineStr">
        <is>
          <t>Assistive Tech Tested</t>
        </is>
      </c>
      <c r="B12" s="11" t="n"/>
    </row>
    <row r="13">
      <c r="A13" s="10" t="n"/>
      <c r="B13" s="11" t="n"/>
    </row>
    <row r="14" ht="15" customHeight="1">
      <c r="A14" s="2" t="inlineStr">
        <is>
          <t>PAGES / COMPONENTS IN SCOPE</t>
        </is>
      </c>
      <c r="B14" s="28" t="n"/>
      <c r="C14" s="28" t="n"/>
    </row>
    <row r="16">
      <c r="A16" s="4" t="inlineStr">
        <is>
          <t>#</t>
        </is>
      </c>
      <c r="B16" s="4" t="inlineStr">
        <is>
          <t>Page Name</t>
        </is>
      </c>
      <c r="C16" s="4" t="inlineStr">
        <is>
          <t>URL</t>
        </is>
      </c>
    </row>
    <row r="17">
      <c r="A17" s="27" t="n">
        <v>1</v>
      </c>
      <c r="B17" s="12" t="inlineStr">
        <is>
          <t>Homepage</t>
        </is>
      </c>
      <c r="C17" s="12" t="n"/>
    </row>
    <row r="18">
      <c r="A18" s="27" t="n">
        <v>2</v>
      </c>
      <c r="B18" s="12" t="inlineStr">
        <is>
          <t>Contact Form</t>
        </is>
      </c>
      <c r="C18" s="12" t="n"/>
    </row>
    <row r="19">
      <c r="A19" s="27" t="n">
        <v>3</v>
      </c>
      <c r="B19" s="12" t="inlineStr">
        <is>
          <t>Navigation</t>
        </is>
      </c>
      <c r="C19" s="12" t="n"/>
    </row>
  </sheetData>
  <mergeCells count="2">
    <mergeCell ref="A14:C14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40" zoomScaleNormal="140" workbookViewId="0">
      <selection activeCell="A1" sqref="A1:D1"/>
    </sheetView>
  </sheetViews>
  <sheetFormatPr baseColWidth="10" defaultColWidth="8.6640625" defaultRowHeight="15"/>
  <cols>
    <col width="16" customWidth="1" min="1" max="1"/>
    <col width="10" customWidth="1" min="2" max="2"/>
    <col width="12" customWidth="1" min="3" max="3"/>
    <col width="4" customWidth="1" min="4" max="4"/>
    <col width="16" customWidth="1" min="5" max="5"/>
    <col width="10" customWidth="1" min="6" max="6"/>
  </cols>
  <sheetData>
    <row r="1" ht="27.75" customHeight="1">
      <c r="A1" s="3" t="inlineStr">
        <is>
          <t>Audit Summary Dashboard</t>
        </is>
      </c>
    </row>
    <row r="3">
      <c r="A3" s="13" t="inlineStr">
        <is>
          <t>Severity</t>
        </is>
      </c>
      <c r="E3" s="13" t="inlineStr">
        <is>
          <t>Status</t>
        </is>
      </c>
    </row>
    <row r="4">
      <c r="A4" s="14" t="inlineStr">
        <is>
          <t>Severity</t>
        </is>
      </c>
      <c r="B4" s="14" t="inlineStr">
        <is>
          <t>Count</t>
        </is>
      </c>
      <c r="C4" s="14" t="inlineStr">
        <is>
          <t>% of Total</t>
        </is>
      </c>
      <c r="E4" s="14" t="inlineStr">
        <is>
          <t>Status</t>
        </is>
      </c>
      <c r="F4" s="14" t="inlineStr">
        <is>
          <t>Count</t>
        </is>
      </c>
    </row>
    <row r="5">
      <c r="A5" s="15" t="inlineStr">
        <is>
          <t>Critical</t>
        </is>
      </c>
      <c r="B5" s="12">
        <f>COUNTIF('Audit Log'!F:F,"Critical")</f>
        <v/>
      </c>
      <c r="C5" s="16">
        <f>IF(B9&gt;0,B5/B9,0)</f>
        <v/>
      </c>
      <c r="E5" s="12" t="inlineStr">
        <is>
          <t>Open</t>
        </is>
      </c>
      <c r="F5" s="12">
        <f>COUNTIF('Audit Log'!L:L,"Open")</f>
        <v/>
      </c>
    </row>
    <row r="6">
      <c r="A6" s="17" t="inlineStr">
        <is>
          <t>Serious</t>
        </is>
      </c>
      <c r="B6" s="12">
        <f>COUNTIF('Audit Log'!F:F,"Serious")</f>
        <v/>
      </c>
      <c r="C6" s="16">
        <f>IF(B9&gt;0,B6/B9,0)</f>
        <v/>
      </c>
      <c r="E6" s="12" t="inlineStr">
        <is>
          <t>In Progress</t>
        </is>
      </c>
      <c r="F6" s="12">
        <f>COUNTIF('Audit Log'!L:L,"In Progress")</f>
        <v/>
      </c>
    </row>
    <row r="7">
      <c r="A7" s="18" t="inlineStr">
        <is>
          <t>Moderate</t>
        </is>
      </c>
      <c r="B7" s="12">
        <f>COUNTIF('Audit Log'!F:F,"Moderate")</f>
        <v/>
      </c>
      <c r="C7" s="16">
        <f>IF(B9&gt;0,B7/B9,0)</f>
        <v/>
      </c>
      <c r="E7" s="12" t="inlineStr">
        <is>
          <t>Fixed</t>
        </is>
      </c>
      <c r="F7" s="12">
        <f>COUNTIF('Audit Log'!L:L,"Fixed")</f>
        <v/>
      </c>
    </row>
    <row r="8">
      <c r="A8" s="19" t="inlineStr">
        <is>
          <t>Minor</t>
        </is>
      </c>
      <c r="B8" s="12">
        <f>COUNTIF('Audit Log'!F:F,"Minor")</f>
        <v/>
      </c>
      <c r="C8" s="16">
        <f>IF(B9&gt;0,B8/B9,0)</f>
        <v/>
      </c>
      <c r="E8" s="12" t="inlineStr">
        <is>
          <t>Deferred</t>
        </is>
      </c>
      <c r="F8" s="12">
        <f>COUNTIF('Audit Log'!L:L,"Deferred")</f>
        <v/>
      </c>
    </row>
    <row r="9">
      <c r="A9" s="10" t="inlineStr">
        <is>
          <t>TOTAL</t>
        </is>
      </c>
      <c r="B9" s="10">
        <f>SUM(B5:B8)</f>
        <v/>
      </c>
      <c r="E9" s="12" t="inlineStr">
        <is>
          <t>Won't Fix</t>
        </is>
      </c>
      <c r="F9" s="12">
        <f>COUNTIF('Audit Log'!L:L,"Won't Fix")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topLeftCell="A6" zoomScale="140" zoomScaleNormal="140" workbookViewId="0">
      <selection activeCell="E11" sqref="E11"/>
    </sheetView>
  </sheetViews>
  <sheetFormatPr baseColWidth="10" defaultColWidth="8.6640625" defaultRowHeight="15"/>
  <cols>
    <col width="10" customWidth="1" min="1" max="1"/>
    <col width="26" customWidth="1" min="2" max="2"/>
    <col width="8" customWidth="1" min="3" max="3"/>
    <col width="16" customWidth="1" min="4" max="4"/>
    <col width="60" customWidth="1" min="5" max="5"/>
    <col width="64.1640625" customWidth="1" min="6" max="6"/>
  </cols>
  <sheetData>
    <row r="1" ht="24" customHeight="1">
      <c r="A1" s="1" t="inlineStr">
        <is>
          <t>WCAG 2.1 — Quick Reference (Most Common in Audits)</t>
        </is>
      </c>
    </row>
    <row r="2">
      <c r="A2" s="14" t="inlineStr">
        <is>
          <t>Criterion</t>
        </is>
      </c>
      <c r="B2" s="14" t="inlineStr">
        <is>
          <t>Short Name</t>
        </is>
      </c>
      <c r="C2" s="14" t="inlineStr">
        <is>
          <t>Level</t>
        </is>
      </c>
      <c r="D2" s="14" t="inlineStr">
        <is>
          <t>Principle</t>
        </is>
      </c>
      <c r="E2" s="14" t="inlineStr">
        <is>
          <t>What to Check</t>
        </is>
      </c>
      <c r="F2" s="14" t="inlineStr">
        <is>
          <t>Audit Question (EN)</t>
        </is>
      </c>
    </row>
    <row r="3" ht="36" customHeight="1">
      <c r="A3" s="20" t="inlineStr">
        <is>
          <t>1.1.1</t>
        </is>
      </c>
      <c r="B3" s="20" t="inlineStr">
        <is>
          <t>Non-text Content</t>
        </is>
      </c>
      <c r="C3" s="20" t="inlineStr">
        <is>
          <t>A</t>
        </is>
      </c>
      <c r="D3" s="20" t="inlineStr">
        <is>
          <t>Perceivable</t>
        </is>
      </c>
      <c r="E3" s="20" t="inlineStr">
        <is>
          <t>All images, icons, and non-text elements have meaningful alt text or are marked decorative.</t>
        </is>
      </c>
      <c r="F3" s="20" t="inlineStr">
        <is>
          <t>Do informative images have alt text? Are decorative images marked with alt=""?</t>
        </is>
      </c>
    </row>
    <row r="4" ht="36" customHeight="1">
      <c r="A4" s="20" t="inlineStr">
        <is>
          <t>1.3.1</t>
        </is>
      </c>
      <c r="B4" s="20" t="inlineStr">
        <is>
          <t>Info and Relationships</t>
        </is>
      </c>
      <c r="C4" s="20" t="inlineStr">
        <is>
          <t>A</t>
        </is>
      </c>
      <c r="D4" s="20" t="inlineStr">
        <is>
          <t>Perceivable</t>
        </is>
      </c>
      <c r="E4" s="20" t="inlineStr">
        <is>
          <t>Semantic HTML used: headings, lists, tables with headers, form labels associated to inputs.</t>
        </is>
      </c>
      <c r="F4" s="20" t="inlineStr">
        <is>
          <t>Is there div soup? Do headings reflect the content structure? Are labels associated with inputs?</t>
        </is>
      </c>
    </row>
    <row r="5" ht="36" customHeight="1">
      <c r="A5" s="20" t="inlineStr">
        <is>
          <t>1.4.1</t>
        </is>
      </c>
      <c r="B5" s="20" t="inlineStr">
        <is>
          <t>Use of Color</t>
        </is>
      </c>
      <c r="C5" s="20" t="inlineStr">
        <is>
          <t>A</t>
        </is>
      </c>
      <c r="D5" s="20" t="inlineStr">
        <is>
          <t>Perceivable</t>
        </is>
      </c>
      <c r="E5" s="20" t="inlineStr">
        <is>
          <t>Color is not the only means to convey information (e.g., error states, required fields).</t>
        </is>
      </c>
      <c r="F5" s="20" t="inlineStr">
        <is>
          <t>Is color the only means used to indicate an error or required field?</t>
        </is>
      </c>
    </row>
    <row r="6" ht="36" customHeight="1">
      <c r="A6" s="20" t="inlineStr">
        <is>
          <t>1.4.3</t>
        </is>
      </c>
      <c r="B6" s="20" t="inlineStr">
        <is>
          <t>Contrast (Minimum)</t>
        </is>
      </c>
      <c r="C6" s="20" t="inlineStr">
        <is>
          <t>AA</t>
        </is>
      </c>
      <c r="D6" s="20" t="inlineStr">
        <is>
          <t>Perceivable</t>
        </is>
      </c>
      <c r="E6" s="20" t="inlineStr">
        <is>
          <t>Text has at least 4.5:1 contrast ratio (3:1 for large text 18pt+ or 14pt bold).</t>
        </is>
      </c>
      <c r="F6" s="20" t="inlineStr">
        <is>
          <t>Is there any low-contrast text at first glance? Is any text placed over a gradient?</t>
        </is>
      </c>
    </row>
    <row r="7" ht="36" customHeight="1">
      <c r="A7" s="20" t="inlineStr">
        <is>
          <t>1.4.11</t>
        </is>
      </c>
      <c r="B7" s="20" t="inlineStr">
        <is>
          <t>Non-text Contrast</t>
        </is>
      </c>
      <c r="C7" s="20" t="inlineStr">
        <is>
          <t>AA</t>
        </is>
      </c>
      <c r="D7" s="20" t="inlineStr">
        <is>
          <t>Perceivable</t>
        </is>
      </c>
      <c r="E7" s="20" t="inlineStr">
        <is>
          <t>UI components (inputs, buttons, focus indicators) have at least 3:1 contrast against background.</t>
        </is>
      </c>
      <c r="F7" s="20" t="inlineStr">
        <is>
          <t>Do buttons and inputs stand out visually from the background? Does the focus indicator have sufficient contrast?</t>
        </is>
      </c>
    </row>
    <row r="8" ht="36" customHeight="1">
      <c r="A8" s="21" t="inlineStr">
        <is>
          <t>2.1.1</t>
        </is>
      </c>
      <c r="B8" s="21" t="inlineStr">
        <is>
          <t>Keyboard</t>
        </is>
      </c>
      <c r="C8" s="21" t="inlineStr">
        <is>
          <t>A</t>
        </is>
      </c>
      <c r="D8" s="21" t="inlineStr">
        <is>
          <t>Operable</t>
        </is>
      </c>
      <c r="E8" s="21" t="inlineStr">
        <is>
          <t>All functionality available via keyboard. No keyboard trap.</t>
        </is>
      </c>
      <c r="F8" s="21" t="inlineStr">
        <is>
          <t>Can I reach all actionable elements with Tab? Are there any keyboard traps?</t>
        </is>
      </c>
    </row>
    <row r="9" ht="36" customHeight="1">
      <c r="A9" s="21" t="inlineStr">
        <is>
          <t>2.4.1</t>
        </is>
      </c>
      <c r="B9" s="21" t="inlineStr">
        <is>
          <t>Bypass Blocks</t>
        </is>
      </c>
      <c r="C9" s="21" t="inlineStr">
        <is>
          <t>A</t>
        </is>
      </c>
      <c r="D9" s="21" t="inlineStr">
        <is>
          <t>Operable</t>
        </is>
      </c>
      <c r="E9" s="21" t="inlineStr">
        <is>
          <t>A mechanism exists to bypass repeated content: skip link, landmarks, or headings.</t>
        </is>
      </c>
      <c r="F9" s="21" t="inlineStr">
        <is>
          <t>Is there a way to bypass repeated blocks (skip link, landmarks, headings)? If there is a skip link, does it work?</t>
        </is>
      </c>
    </row>
    <row r="10" ht="36" customHeight="1">
      <c r="A10" s="21" t="inlineStr">
        <is>
          <t>2.4.3</t>
        </is>
      </c>
      <c r="B10" s="21" t="inlineStr">
        <is>
          <t>Focus Order</t>
        </is>
      </c>
      <c r="C10" s="21" t="inlineStr">
        <is>
          <t>A</t>
        </is>
      </c>
      <c r="D10" s="21" t="inlineStr">
        <is>
          <t>Operable</t>
        </is>
      </c>
      <c r="E10" s="21" t="inlineStr">
        <is>
          <t>Tab order is logical and follows visual reading order.</t>
        </is>
      </c>
      <c r="F10" s="21" t="inlineStr">
        <is>
          <t>Does the Tab order follow a logical reading sequence? Are there any unexpected jumps?</t>
        </is>
      </c>
    </row>
    <row r="11" ht="36" customHeight="1">
      <c r="A11" s="21" t="inlineStr">
        <is>
          <t>2.4.4</t>
        </is>
      </c>
      <c r="B11" s="21" t="inlineStr">
        <is>
          <t>Link Purpose</t>
        </is>
      </c>
      <c r="C11" s="21" t="inlineStr">
        <is>
          <t>A</t>
        </is>
      </c>
      <c r="D11" s="21" t="inlineStr">
        <is>
          <t>Operable</t>
        </is>
      </c>
      <c r="E11" s="21" t="inlineStr">
        <is>
          <t>Link text is descriptive on its own or with programmatic context. No bare 'click here'.</t>
        </is>
      </c>
      <c r="F11" s="21" t="inlineStr">
        <is>
          <t>Are there links that say only 'click here' or 'read more'?</t>
        </is>
      </c>
    </row>
    <row r="12" ht="36" customHeight="1">
      <c r="A12" s="21" t="inlineStr">
        <is>
          <t>2.4.7</t>
        </is>
      </c>
      <c r="B12" s="21" t="inlineStr">
        <is>
          <t>Focus Visible</t>
        </is>
      </c>
      <c r="C12" s="21" t="inlineStr">
        <is>
          <t>AA</t>
        </is>
      </c>
      <c r="D12" s="21" t="inlineStr">
        <is>
          <t>Operable</t>
        </is>
      </c>
      <c r="E12" s="21" t="inlineStr">
        <is>
          <t>Keyboard focus indicator is visible at all times.</t>
        </is>
      </c>
      <c r="F12" s="21" t="inlineStr">
        <is>
          <t>Is the focus indicator visible on all interactive elements?</t>
        </is>
      </c>
    </row>
    <row r="13" ht="36" customHeight="1">
      <c r="A13" s="22" t="inlineStr">
        <is>
          <t>3.1.1</t>
        </is>
      </c>
      <c r="B13" s="22" t="inlineStr">
        <is>
          <t>Language of Page</t>
        </is>
      </c>
      <c r="C13" s="22" t="inlineStr">
        <is>
          <t>A</t>
        </is>
      </c>
      <c r="D13" s="22" t="inlineStr">
        <is>
          <t>Understandable</t>
        </is>
      </c>
      <c r="E13" s="22" t="inlineStr">
        <is>
          <t>HTML lang attribute set correctly (e.g., lang='es', lang='en').</t>
        </is>
      </c>
      <c r="F13" s="22" t="inlineStr">
        <is>
          <t>Does the lang attribute on &lt;html&gt; match the primary language of the page?</t>
        </is>
      </c>
    </row>
    <row r="14" ht="36" customHeight="1">
      <c r="A14" s="22" t="inlineStr">
        <is>
          <t>3.3.1</t>
        </is>
      </c>
      <c r="B14" s="22" t="inlineStr">
        <is>
          <t>Error Identification</t>
        </is>
      </c>
      <c r="C14" s="22" t="inlineStr">
        <is>
          <t>A</t>
        </is>
      </c>
      <c r="D14" s="22" t="inlineStr">
        <is>
          <t>Understandable</t>
        </is>
      </c>
      <c r="E14" s="22" t="inlineStr">
        <is>
          <t>Form errors are identified in text and describe what is wrong.</t>
        </is>
      </c>
      <c r="F14" s="22" t="inlineStr">
        <is>
          <t>Are form errors shown as text — not just indicated by color or icon?</t>
        </is>
      </c>
    </row>
    <row r="15" ht="36" customHeight="1">
      <c r="A15" s="22" t="inlineStr">
        <is>
          <t>3.3.2</t>
        </is>
      </c>
      <c r="B15" s="22" t="inlineStr">
        <is>
          <t>Labels or Instructions</t>
        </is>
      </c>
      <c r="C15" s="22" t="inlineStr">
        <is>
          <t>A</t>
        </is>
      </c>
      <c r="D15" s="22" t="inlineStr">
        <is>
          <t>Understandable</t>
        </is>
      </c>
      <c r="E15" s="22" t="inlineStr">
        <is>
          <t>All form inputs have visible labels or clear instructions before submission.</t>
        </is>
      </c>
      <c r="F15" s="22" t="inlineStr">
        <is>
          <t>Do all fields have a visible label? Is the expected format indicated before submission?</t>
        </is>
      </c>
    </row>
    <row r="16" ht="36" customHeight="1">
      <c r="A16" s="22" t="inlineStr">
        <is>
          <t>3.3.3</t>
        </is>
      </c>
      <c r="B16" s="22" t="inlineStr">
        <is>
          <t>Error Suggestion</t>
        </is>
      </c>
      <c r="C16" s="22" t="inlineStr">
        <is>
          <t>AA</t>
        </is>
      </c>
      <c r="D16" s="22" t="inlineStr">
        <is>
          <t>Understandable</t>
        </is>
      </c>
      <c r="E16" s="22" t="inlineStr">
        <is>
          <t>When an error is detected, suggestions for correction are provided if known.</t>
        </is>
      </c>
      <c r="F16" s="22" t="inlineStr">
        <is>
          <t>Does the error message explain how to fix the problem — not just that one exists?</t>
        </is>
      </c>
    </row>
    <row r="17" ht="36" customHeight="1">
      <c r="A17" s="23" t="inlineStr">
        <is>
          <t>4.1.2</t>
        </is>
      </c>
      <c r="B17" s="23" t="inlineStr">
        <is>
          <t>Name, Role, Value</t>
        </is>
      </c>
      <c r="C17" s="23" t="inlineStr">
        <is>
          <t>A</t>
        </is>
      </c>
      <c r="D17" s="23" t="inlineStr">
        <is>
          <t>Robust</t>
        </is>
      </c>
      <c r="E17" s="23" t="inlineStr">
        <is>
          <t>All UI components have accessible name, role, and state exposed to assistive tech.</t>
        </is>
      </c>
      <c r="F17" s="23" t="inlineStr">
        <is>
          <t>Do icon-only buttons have an accessible name? Are component states communicated (expanded/collapsed)?</t>
        </is>
      </c>
    </row>
    <row r="18" ht="36" customHeight="1">
      <c r="A18" s="23" t="inlineStr">
        <is>
          <t>4.1.3</t>
        </is>
      </c>
      <c r="B18" s="23" t="inlineStr">
        <is>
          <t>Status Messages</t>
        </is>
      </c>
      <c r="C18" s="23" t="inlineStr">
        <is>
          <t>AA</t>
        </is>
      </c>
      <c r="D18" s="23" t="inlineStr">
        <is>
          <t>Robust</t>
        </is>
      </c>
      <c r="E18" s="23" t="inlineStr">
        <is>
          <t>Status messages (success, error, progress) are programmatically determinable without focus.</t>
        </is>
      </c>
      <c r="F18" s="23" t="inlineStr">
        <is>
          <t>Do dynamic messages use aria-live? Does a spinner communicate its state to the screen reader?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2026-04-02T21:09:54Z</dcterms:created>
  <dcterms:modified xmlns:dcterms="http://purl.org/dc/terms/" xmlns:xsi="http://www.w3.org/2001/XMLSchema-instance" xsi:type="dcterms:W3CDTF">2026-10-02T00:57:49Z</dcterms:modified>
  <cp:lastModifiedBy>Victor Hugo Vigueras Diaz - Alumno</cp:lastModifiedBy>
  <cp:revision>0</cp:revision>
</cp:coreProperties>
</file>